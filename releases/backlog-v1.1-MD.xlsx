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113" documentId="11_B09ADFE45BFC7F4D5F44A6A257CBF2BB7F35D650" xr6:coauthVersionLast="47" xr6:coauthVersionMax="47" xr10:uidLastSave="{B3A52776-981C-434C-9679-DEC917BC893B}"/>
  <bookViews>
    <workbookView xWindow="0" yWindow="0" windowWidth="16384" windowHeight="8192" tabRatio="500" xr2:uid="{00000000-000D-0000-FFFF-FFFF00000000}"/>
  </bookViews>
  <sheets>
    <sheet name="Backlog" sheetId="1" r:id="rId1"/>
    <sheet name="Besoins testables" sheetId="2" r:id="rId2"/>
  </sheets>
  <definedNames>
    <definedName name="_xlnm._FilterDatabase" localSheetId="0" hidden="1">Backlog!$A$1:$M$100</definedName>
    <definedName name="_xlnm._FilterDatabase" localSheetId="1" hidden="1">'Besoins testables'!$A$1:$N$207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98" i="1" l="1"/>
  <c r="L97" i="1"/>
  <c r="L90" i="1"/>
  <c r="L89" i="1"/>
  <c r="L85" i="1"/>
  <c r="L84" i="1"/>
  <c r="L82" i="1"/>
  <c r="L77" i="1"/>
  <c r="L76" i="1"/>
  <c r="L75" i="1"/>
  <c r="L74" i="1"/>
  <c r="L73" i="1"/>
  <c r="L72" i="1"/>
  <c r="L70" i="1"/>
  <c r="L69" i="1"/>
  <c r="L68" i="1"/>
  <c r="L67" i="1"/>
  <c r="L66" i="1"/>
  <c r="L65" i="1"/>
  <c r="L64" i="1"/>
  <c r="L63" i="1"/>
  <c r="L62" i="1"/>
  <c r="L61" i="1"/>
  <c r="L60" i="1"/>
  <c r="L59" i="1"/>
  <c r="L58" i="1"/>
  <c r="L57" i="1"/>
  <c r="L54" i="1"/>
  <c r="L53" i="1"/>
  <c r="L52" i="1"/>
  <c r="L51" i="1"/>
  <c r="L42" i="1"/>
  <c r="L40" i="1"/>
  <c r="L39" i="1"/>
  <c r="L38" i="1"/>
  <c r="L35" i="1"/>
  <c r="L34" i="1"/>
  <c r="L32" i="1"/>
  <c r="L31" i="1"/>
  <c r="L29" i="1"/>
  <c r="L28" i="1"/>
  <c r="L27" i="1"/>
  <c r="L26" i="1"/>
  <c r="L24" i="1"/>
  <c r="L20" i="1"/>
  <c r="L18" i="1"/>
  <c r="L15" i="1"/>
  <c r="L12" i="1"/>
  <c r="L10" i="1"/>
  <c r="L9" i="1"/>
  <c r="L7" i="1"/>
  <c r="L6" i="1"/>
  <c r="L5" i="1"/>
  <c r="L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tc={81046806-497B-4741-B3F2-154557F53E47}</author>
    <author>tc={EA6EDE0F-E03D-487C-928E-892211372772}</author>
    <author>tc={B873D1F3-98F3-4A1D-9020-8C06A01878A0}</author>
    <author>tc={023233AC-00E2-405F-89E8-362B65961D96}</author>
    <author>tc={508E3181-E1C6-46B2-9676-AD1710705348}</author>
    <author>tc={01FC80DF-5932-4898-809B-24F316FB8EE7}</author>
    <author>tc={89D6D8AF-D653-42C0-92C8-FD6D5B725011}</author>
    <author>tc={07C93F31-B0C4-40F7-A099-B1FB4CD452D0}</author>
    <author>tc={E85A68E6-59FA-4816-A3E8-3ECCD7C4BBA0}</author>
    <author>tc={F9CB5936-68E2-4691-8015-F0A9C23B3434}</author>
    <author>tc={5C4CC505-A521-4CFB-9A6B-F85C78B993D4}</author>
    <author>tc={F25A2584-30B5-4EB0-B56C-1E5F64C59614}</author>
    <author>tc={2929EE09-8207-4CA8-9E24-98B02FFF569E}</author>
    <author>tc={0142E358-C354-4DDD-A161-6CCAE1E457F4}</author>
    <author>tc={8D129C04-627F-4536-BDC9-DFB5693D5D42}</author>
    <author>tc={788091B5-29E7-4A73-95AE-3519DA6EBF42}</author>
    <author>tc={3A1AD52B-8851-4C78-A8B9-6BAD52B1BB5E}</author>
    <author>tc={B979D167-EA3C-46EC-8967-FC4A2DD910FA}</author>
    <author>tc={489B1581-C85D-40DD-94F6-4662A408E4F4}</author>
    <author>tc={89B46F4B-7314-4D0E-9E77-B9FC856EFC8E}</author>
    <author>tc={653B342C-CECD-461C-82DF-959EDE149BC2}</author>
    <author>tc={456BE34E-2E2D-4AB8-A064-B317850F4832}</author>
    <author>tc={7AFBB8A3-F285-4471-B77C-E66D3BEEDF82}</author>
    <author>tc={6D84150F-BE1A-4E52-A846-A460BD9E66F3}</author>
    <author>tc={A696ADDC-1025-48F5-900F-878209AD011C}</author>
    <author>tc={36CDE517-3F64-4CCE-AA1D-73F08DB10B61}</author>
    <author>tc={AD5787EC-5B23-4D3A-A053-94AA54FBA651}</author>
    <author>tc={10D56734-EAA8-43B1-9161-FDE2DCAF8611}</author>
    <author>tc={1A25A0B2-EC9B-4357-8608-40FC308F99E8}</author>
    <author>tc={327934CE-FF80-4B54-8258-95140AF19DF2}</author>
    <author>tc={325EC2DC-79AF-4931-83A5-D7EF3B43EF8F}</author>
    <author>tc={BB477976-3437-4AEE-9621-0834D8F27C29}</author>
    <author>tc={2C9FFEF3-F6A3-4C73-935C-A37F376D9D40}</author>
    <author>tc={D91010E7-CFC8-441D-BA70-289C0B41F06F}</author>
    <author>tc={FEFC8753-D79B-40BD-B3A7-116A7E114037}</author>
    <author>tc={0FCF9870-AA33-4FEC-A704-44C857E06B14}</author>
    <author>tc={320A46CB-4BA1-42C8-A285-B602906095C5}</author>
    <author>tc={ACD56600-F7A6-403B-8692-32A322BF4DE8}</author>
    <author>tc={97993331-B1A2-4AE0-8BB4-2F369A504207}</author>
    <author>tc={1761F271-1DDB-43F4-989A-7F3C1AF1C235}</author>
    <author>tc={2D20C814-4E01-4C15-9832-A098CB18E8C2}</author>
    <author>tc={89CD35D5-BEC0-4223-88E4-487633D844DA}</author>
    <author>tc={0DDF1EE2-4936-47E5-9F49-799A95C4C89E}</author>
    <author>tc={BF3BAE90-EF69-46C9-863F-9CDFD17CDA38}</author>
    <author>tc={9AD64FD3-923E-4A7D-96DC-6C7A3B4698D7}</author>
    <author>tc={1AFB474C-EAD3-47A9-B79C-6F7B7A82608E}</author>
    <author>tc={97CFF8E2-EE5E-4368-B79D-CAF5DC422F94}</author>
    <author>tc={BD82F9FC-B14B-410C-8820-24C8C71B093F}</author>
  </authors>
  <commentList>
    <comment ref="K2" authorId="0" shapeId="0" xr:uid="{81046806-497B-4741-B3F2-154557F53E47}">
      <text>
        <t>[Threaded comment]
Your version of Excel allows you to read this threaded comment; however, any edits to it will get removed if the file is opened in a newer version of Excel. Learn more: https://go.microsoft.com/fwlink/?linkid=870924
Comment:
    L'import de fichiers semble intéressante pour l'automatisation (pour jeux de données qui n'ont pas d'API et transmis directement par les partenaires)
Mais compliqué à mettre en place dans une v1 selon moi : on ne sait pas encore à quoi vont ressembler leurs fichiers et s'ils auront la même structure à chaque maj... Et à part pour l'automatisation l'import ne me parait pas utile. je mettrais en lot 2.</t>
      </text>
    </comment>
    <comment ref="K3" authorId="1" shapeId="0" xr:uid="{EA6EDE0F-E03D-487C-928E-892211372772}">
      <text>
        <t>[Threaded comment]
Your version of Excel allows you to read this threaded comment; however, any edits to it will get removed if the file is opened in a newer version of Excel. Learn more: https://go.microsoft.com/fwlink/?linkid=870924
Comment:
    Pour les API c'est notre back (nos ETL/scripts d'intégration) qui va y faire appel
A virer ou à mettre en backend si pas redondant avec d'autres US?</t>
      </text>
    </comment>
    <comment ref="K4" authorId="2" shapeId="0" xr:uid="{B873D1F3-98F3-4A1D-9020-8C06A01878A0}">
      <text>
        <t>[Threaded comment]
Your version of Excel allows you to read this threaded comment; however, any edits to it will get removed if the file is opened in a newer version of Excel. Learn more: https://go.microsoft.com/fwlink/?linkid=870924
Comment:
    Intégration plutôt que import</t>
      </text>
    </comment>
    <comment ref="K12" authorId="3" shapeId="0" xr:uid="{023233AC-00E2-405F-89E8-362B65961D96}">
      <text>
        <t>[Threaded comment]
Your version of Excel allows you to read this threaded comment; however, any edits to it will get removed if the file is opened in a newer version of Excel. Learn more: https://go.microsoft.com/fwlink/?linkid=870924
Comment:
    US1bis.4US1bis.5US1bis.6
Idéalement le catalogue (et ses fonctionnalités de filtres associées) sera géré par HydroScope directement mais centralisé pour les differentes apps
C'est envisageable de prévoir 2 options?Et on développe l'une ou l'autre dans le cadre d'HydroScope en fonction du budget et du temps qu'il reste  :
1- (lot 1 MVP) une vue simple dans HydroScope type "fiche" qui récapitule toutes les données utilisées et permet d'afficher les metadonnées associées (sans filtres ou requete avancée)
2- (lot 2) une interface à part, pour remplacer l'interface actuelle du catalogue de métadonnées de l'oeil, et qui peut etre filtré par appli ou autre critère, et qui fournit aussi des services pour certaines données publiées via le geoserveur avec un iframe</t>
      </text>
    </comment>
    <comment ref="K17" authorId="4" shapeId="0" xr:uid="{508E3181-E1C6-46B2-9676-AD1710705348}">
      <text>
        <t>[Threaded comment]
Your version of Excel allows you to read this threaded comment; however, any edits to it will get removed if the file is opened in a newer version of Excel. Learn more: https://go.microsoft.com/fwlink/?linkid=870924
Comment:
    Si la donnée "dérivée" est l'indicateur, il faut aussi mentionner les donnés "brutes" qui permettent de constituer nos données source</t>
      </text>
    </comment>
    <comment ref="K18" authorId="5" shapeId="0" xr:uid="{01FC80DF-5932-4898-809B-24F316FB8EE7}">
      <text>
        <t>[Threaded comment]
Your version of Excel allows you to read this threaded comment; however, any edits to it will get removed if the file is opened in a newer version of Excel. Learn more: https://go.microsoft.com/fwlink/?linkid=870924
Comment:
    je dirais "lors des intégrations de données"</t>
      </text>
    </comment>
    <comment ref="K19" authorId="6" shapeId="0" xr:uid="{89D6D8AF-D653-42C0-92C8-FD6D5B725011}">
      <text>
        <t>[Threaded comment]
Your version of Excel allows you to read this threaded comment; however, any edits to it will get removed if the file is opened in a newer version of Excel. Learn more: https://go.microsoft.com/fwlink/?linkid=870924
Comment:
    Tu veux par exemple relier un jeu d'indicateurs à une exécution pour connaitre ses paramètres de croisement ou relier des données "sources" à un etl d'intégration?</t>
      </text>
    </comment>
    <comment ref="K21" authorId="7" shapeId="0" xr:uid="{07C93F31-B0C4-40F7-A099-B1FB4CD452D0}">
      <text>
        <t>[Threaded comment]
Your version of Excel allows you to read this threaded comment; however, any edits to it will get removed if the file is opened in a newer version of Excel. Learn more: https://go.microsoft.com/fwlink/?linkid=870924
Comment:
    A regrouper avec consulter les métadonnées d'un jeu de données puisque tout sera catalogué? J'ai l'impression que ca correspond à la même fonctionnalité</t>
      </text>
    </comment>
    <comment ref="K22" authorId="8" shapeId="0" xr:uid="{E85A68E6-59FA-4816-A3E8-3ECCD7C4BBA0}">
      <text>
        <t xml:space="preserve">[Threaded comment]
Your version of Excel allows you to read this threaded comment; however, any edits to it will get removed if the file is opened in a newer version of Excel. Learn more: https://go.microsoft.com/fwlink/?linkid=870924
Comment:
    Sans modifier la structure de quoi ? De la bdd ? </t>
      </text>
    </comment>
    <comment ref="K24" authorId="9" shapeId="0" xr:uid="{F9CB5936-68E2-4691-8015-F0A9C23B3434}">
      <text>
        <t>[Threaded comment]
Your version of Excel allows you to read this threaded comment; however, any edits to it will get removed if the file is opened in a newer version of Excel. Learn more: https://go.microsoft.com/fwlink/?linkid=870924
Comment:
    US2.1US2.2US2.3
T'as des exemples de tests de cohérence ? c'est vague pour moi les validations qui peuvent être mises en place</t>
      </text>
    </comment>
    <comment ref="K27" authorId="10" shapeId="0" xr:uid="{5C4CC505-A521-4CFB-9A6B-F85C78B993D4}">
      <text>
        <t>[Threaded comment]
Your version of Excel allows you to read this threaded comment; however, any edits to it will get removed if the file is opened in a newer version of Excel. Learn more: https://go.microsoft.com/fwlink/?linkid=870924
Comment:
    Taux de complétude sur le territoire de la NC ?</t>
      </text>
    </comment>
    <comment ref="K28" authorId="11" shapeId="0" xr:uid="{F25A2584-30B5-4EB0-B56C-1E5F64C59614}">
      <text>
        <t>[Threaded comment]
Your version of Excel allows you to read this threaded comment; however, any edits to it will get removed if the file is opened in a newer version of Excel. Learn more: https://go.microsoft.com/fwlink/?linkid=870924
Comment:
    US2.5US2.6
Tu as mis la qualification et la qualité en MVP mais certaines données ne seront probablement pas qualifiées dans la V1, par ex dynamic world si on l'utilise
Tu avais autre chose en tète quand tu parlais de critères de qualité ?</t>
      </text>
    </comment>
    <comment ref="K30" authorId="12" shapeId="0" xr:uid="{2929EE09-8207-4CA8-9E24-98B02FFF569E}">
      <text>
        <t xml:space="preserve">[Threaded comment]
Your version of Excel allows you to read this threaded comment; however, any edits to it will get removed if the file is opened in a newer version of Excel. Learn more: https://go.microsoft.com/fwlink/?linkid=870924
Comment:
    Ok à garder en lot 2 mais c'est pas une priorité du coup </t>
      </text>
    </comment>
    <comment ref="K31" authorId="13" shapeId="0" xr:uid="{0142E358-C354-4DDD-A161-6CCAE1E457F4}">
      <text>
        <t>[Threaded comment]
Your version of Excel allows you to read this threaded comment; however, any edits to it will get removed if the file is opened in a newer version of Excel. Learn more: https://go.microsoft.com/fwlink/?linkid=870924
Comment:
    US3.1US3.2US3.3US3.4
Qu'est ce que tu entends par gérer ? les référentiels et la grille seront mis à jour au même titre que les autres données, non ? Pourquoi faire un distinction ?
Et l'agréation au niveau des référentiels figure déjà dans la liste un peu plus bas
D'ailleurs, je mettrais le maillage H3 en lot 2 car on avisera en fonction de la maturité de notre SI</t>
      </text>
    </comment>
    <comment ref="K35" authorId="14" shapeId="0" xr:uid="{8D129C04-627F-4536-BDC9-DFB5693D5D42}">
      <text>
        <t>[Threaded comment]
Your version of Excel allows you to read this threaded comment; however, any edits to it will get removed if the file is opened in a newer version of Excel. Learn more: https://go.microsoft.com/fwlink/?linkid=870924
Comment:
    Cad "définir pour le rendre calculable" ?
Tous les indicateurs seront précalculés non ? Je capte pas la subtilité
Tu veux permettre à l'admin de créer de nouveaux indicateurs via l'interface ce qui va générer de nouveaux croisements ?</t>
      </text>
    </comment>
    <comment ref="K36" authorId="15" shapeId="0" xr:uid="{788091B5-29E7-4A73-95AE-3519DA6EBF42}">
      <text>
        <t>[Threaded comment]
Your version of Excel allows you to read this threaded comment; however, any edits to it will get removed if the file is opened in a newer version of Excel. Learn more: https://go.microsoft.com/fwlink/?linkid=870924
Comment:
    Pourquoi c'est dans l'EPIC referentiels?</t>
      </text>
    </comment>
    <comment ref="K39" authorId="16" shapeId="0" xr:uid="{3A1AD52B-8851-4C78-A8B9-6BAD52B1BB5E}">
      <text>
        <t>[Threaded comment]
Your version of Excel allows you to read this threaded comment; however, any edits to it will get removed if the file is opened in a newer version of Excel. Learn more: https://go.microsoft.com/fwlink/?linkid=870924
Comment:
    et des ppe et captages</t>
      </text>
    </comment>
    <comment ref="K41" authorId="17" shapeId="0" xr:uid="{B979D167-EA3C-46EC-8967-FC4A2DD910FA}">
      <text>
        <t>[Threaded comment]
Your version of Excel allows you to read this threaded comment; however, any edits to it will get removed if the file is opened in a newer version of Excel. Learn more: https://go.microsoft.com/fwlink/?linkid=870924
Comment:
    On pourrait regrouper avec l'US 4.1 "calcul paramétrable" non ? Ya pas forcément des params propres à chaque source de donnée ?</t>
      </text>
    </comment>
    <comment ref="K42" authorId="18" shapeId="0" xr:uid="{489B1581-C85D-40DD-94F6-4662A408E4F4}">
      <text>
        <t>[Threaded comment]
Your version of Excel allows you to read this threaded comment; however, any edits to it will get removed if the file is opened in a newer version of Excel. Learn more: https://go.microsoft.com/fwlink/?linkid=870924
Comment:
    Pré calcul des indicateurs, pas de "filtre" a appliquer au calcul via le front pour moi
A retirer ?</t>
      </text>
    </comment>
    <comment ref="K44" authorId="19" shapeId="0" xr:uid="{89B46F4B-7314-4D0E-9E77-B9FC856EFC8E}">
      <text>
        <t>[Threaded comment]
Your version of Excel allows you to read this threaded comment; however, any edits to it will get removed if the file is opened in a newer version of Excel. Learn more: https://go.microsoft.com/fwlink/?linkid=870924
Comment:
    Calculer / recalculer =&gt; c'est vraiment 2 fonctionnalités à distinguer ?</t>
      </text>
    </comment>
    <comment ref="K45" authorId="20" shapeId="0" xr:uid="{653B342C-CECD-461C-82DF-959EDE149BC2}">
      <text>
        <t>[Threaded comment]
Your version of Excel allows you to read this threaded comment; however, any edits to it will get removed if the file is opened in a newer version of Excel. Learn more: https://go.microsoft.com/fwlink/?linkid=870924
Comment:
    La définition de l'indice composite (méthode d'AMC) sera codée en dur, pas à définir dans le front
A virer ?</t>
      </text>
    </comment>
    <comment ref="K46" authorId="21" shapeId="0" xr:uid="{456BE34E-2E2D-4AB8-A064-B317850F4832}">
      <text>
        <t>[Threaded comment]
Your version of Excel allows you to read this threaded comment; however, any edits to it will get removed if the file is opened in a newer version of Excel. Learn more: https://go.microsoft.com/fwlink/?linkid=870924
Comment:
    à l'échelle d'un indicateur et à l'échelle d'une famille d'indicateurs</t>
      </text>
    </comment>
    <comment ref="K47" authorId="22" shapeId="0" xr:uid="{7AFBB8A3-F285-4471-B77C-E66D3BEEDF82}">
      <text>
        <t>[Threaded comment]
Your version of Excel allows you to read this threaded comment; however, any edits to it will get removed if the file is opened in a newer version of Excel. Learn more: https://go.microsoft.com/fwlink/?linkid=870924
Comment:
    tester/definir : je vois pas la nuance la non plus</t>
      </text>
    </comment>
    <comment ref="K48" authorId="23" shapeId="0" xr:uid="{6D84150F-BE1A-4E52-A846-A460BD9E66F3}">
      <text>
        <t>[Threaded comment]
Your version of Excel allows you to read this threaded comment; however, any edits to it will get removed if the file is opened in a newer version of Excel. Learn more: https://go.microsoft.com/fwlink/?linkid=870924
Comment:
    on a aussi parlé d'enregistrer et de partager des scénarios</t>
      </text>
    </comment>
    <comment ref="K49" authorId="24" shapeId="0" xr:uid="{A696ADDC-1025-48F5-900F-878209AD011C}">
      <text>
        <t>[Threaded comment]
Your version of Excel allows you to read this threaded comment; however, any edits to it will get removed if the file is opened in a newer version of Excel. Learn more: https://go.microsoft.com/fwlink/?linkid=870924
Comment:
    on aura pas de score de criticité mais un classement =&gt; cf le mail du 14 août 2026
"
- Il nous semble également important de préciser qu'il faudra cibler une méthode de classement multicritère, dans la mesure où l'analyse multicritère au sens large inclut également des approches de notation absolue. Les résultats de l'outil auraient donc plutôt vocation à être présentés sous forme de classement ou de priorisation que sous forme d'une note.
- Dans cette logique, il nous semble plus juste, à ce stade, de parler d'explorateur de priorisation plutôt que d'un véritable outil d'analyse multicritère. Ce dernier suppose en effet la production de résultats aboutis et figés, ce qui nécessiterait des travaux méthodologiques complémentaires (analyse de sensibilité, étude des dépendances entre indicateurs, etc.)."</t>
      </text>
    </comment>
    <comment ref="K50" authorId="25" shapeId="0" xr:uid="{36CDE517-3F64-4CCE-AA1D-73F08DB10B61}">
      <text>
        <t xml:space="preserve">[Threaded comment]
Your version of Excel allows you to read this threaded comment; however, any edits to it will get removed if the file is opened in a newer version of Excel. Learn more: https://go.microsoft.com/fwlink/?linkid=870924
Comment:
    Oui, il faudra peut etre détailler + ce point ? (pondérations affichées dans l'export d'un rapport, ajout obligatoire d'une fiche methodo associé a un jeu de pondérations partageables...) : cf mail du 14 aout :
"
- Il sera possible de mettre à disposition des jeux de pondérations de référence élaborés par des groupes de travail ou des instances de gouvernance (par exemple des pondérations validées dans le cadre d'un atelier dédié).
- Afin de garantir la transparence des résultats, chaque jeu de pondérations mis à disposition devra être accompagné d'un document présentant la méthode utilisée (AHP, Swing weighting...), les participants impliqués et les modalités de validation retenues. Les résultats indiqueront aussi la méthode utilisée et les pondérations affectées.
"
</t>
      </text>
    </comment>
    <comment ref="K51" authorId="26" shapeId="0" xr:uid="{AD5787EC-5B23-4D3A-A053-94AA54FBA651}">
      <text>
        <t>[Threaded comment]
Your version of Excel allows you to read this threaded comment; however, any edits to it will get removed if the file is opened in a newer version of Excel. Learn more: https://go.microsoft.com/fwlink/?linkid=870924
Comment:
    Beaucoup de redondance entre les US je trouve : tu pourrais la aussi regrouper celle la avec les 2 suivantes non ?</t>
      </text>
    </comment>
    <comment ref="K55" authorId="27" shapeId="0" xr:uid="{10D56734-EAA8-43B1-9161-FDE2DCAF8611}">
      <text>
        <t xml:space="preserve">[Threaded comment]
Your version of Excel allows you to read this threaded comment; however, any edits to it will get removed if the file is opened in a newer version of Excel. Learn more: https://go.microsoft.com/fwlink/?linkid=870924
Comment:
    selon des indicateurs agrégés </t>
      </text>
    </comment>
    <comment ref="K58" authorId="28" shapeId="0" xr:uid="{1A25A0B2-EC9B-4357-8608-40FC308F99E8}">
      <text>
        <t>[Threaded comment]
Your version of Excel allows you to read this threaded comment; however, any edits to it will get removed if the file is opened in a newer version of Excel. Learn more: https://go.microsoft.com/fwlink/?linkid=870924
Comment:
    en tant qu'expert métier non ?</t>
      </text>
    </comment>
    <comment ref="K64" authorId="29" shapeId="0" xr:uid="{327934CE-FF80-4B54-8258-95140AF19DF2}">
      <text>
        <t>[Threaded comment]
Your version of Excel allows you to read this threaded comment; however, any edits to it will get removed if the file is opened in a newer version of Excel. Learn more: https://go.microsoft.com/fwlink/?linkid=870924
Comment:
    a regrouper avec une US au dessus non ? c'est du détail</t>
      </text>
    </comment>
    <comment ref="K66" authorId="30" shapeId="0" xr:uid="{325EC2DC-79AF-4931-83A5-D7EF3B43EF8F}">
      <text>
        <t>[Threaded comment]
Your version of Excel allows you to read this threaded comment; however, any edits to it will get removed if the file is opened in a newer version of Excel. Learn more: https://go.microsoft.com/fwlink/?linkid=870924
Comment:
    expert métier plutôt ? 
+ selection ppe</t>
      </text>
    </comment>
    <comment ref="K68" authorId="31" shapeId="0" xr:uid="{BB477976-3437-4AEE-9621-0834D8F27C29}">
      <text>
        <t>[Threaded comment]
Your version of Excel allows you to read this threaded comment; however, any edits to it will get removed if the file is opened in a newer version of Excel. Learn more: https://go.microsoft.com/fwlink/?linkid=870924
Comment:
    US à scinder je pense :
En tant qu' utilisateur / décideur,
Je veux que la facette "Commune" se filtre automatiquement lorsque je sélectionne un bassin versant
En tant qu'administrateur expert data, je veux calculer les intersections entre referentiels (bv, ppe, communes, captages) afin de comprendre leurs liens et d'alimenter les facettes et filtres de l'interface selon la sélection de l'utilisateur 
=&gt; US juste en dessous à virer si on met ca</t>
      </text>
    </comment>
    <comment ref="K71" authorId="32" shapeId="0" xr:uid="{2C9FFEF3-F6A3-4C73-935C-A37F376D9D40}">
      <text>
        <t>[Threaded comment]
Your version of Excel allows you to read this threaded comment; however, any edits to it will get removed if the file is opened in a newer version of Excel. Learn more: https://go.microsoft.com/fwlink/?linkid=870924
Comment:
    expert métier</t>
      </text>
    </comment>
    <comment ref="K73" authorId="33" shapeId="0" xr:uid="{D91010E7-CFC8-441D-BA70-289C0B41F06F}">
      <text>
        <t>[Threaded comment]
Your version of Excel allows you to read this threaded comment; however, any edits to it will get removed if the file is opened in a newer version of Excel. Learn more: https://go.microsoft.com/fwlink/?linkid=870924
Comment:
    expert métier (+décideur?)</t>
      </text>
    </comment>
    <comment ref="K74" authorId="34" shapeId="0" xr:uid="{FEFC8753-D79B-40BD-B3A7-116A7E114037}">
      <text>
        <t>[Threaded comment]
Your version of Excel allows you to read this threaded comment; however, any edits to it will get removed if the file is opened in a newer version of Excel. Learn more: https://go.microsoft.com/fwlink/?linkid=870924
Comment:
    Choix ergo UX pas une fonctionnalité
T'as déjà parlé de graphiques d'évolution et de carto ca fait redondant</t>
      </text>
    </comment>
    <comment ref="K76" authorId="35" shapeId="0" xr:uid="{0FCF9870-AA33-4FEC-A704-44C857E06B14}">
      <text>
        <t>[Threaded comment]
Your version of Excel allows you to read this threaded comment; however, any edits to it will get removed if the file is opened in a newer version of Excel. Learn more: https://go.microsoft.com/fwlink/?linkid=870924
Comment:
    J'enlèverais le côté UX "volet droit"; et je dirais que c'est une fonctionnalité expert métier
En tant qu' expert métier / utilisateur,
Je veux sélectionner individuellement les indicateurs à activer au sein de chaque famille thématique,
Afin de personnaliser mon analyse et ne conserver que les métriques pertinentes pour mon étude.</t>
      </text>
    </comment>
    <comment ref="K77" authorId="36" shapeId="0" xr:uid="{320A46CB-4BA1-42C8-A285-B602906095C5}">
      <text>
        <t>[Threaded comment]
Your version of Excel allows you to read this threaded comment; however, any edits to it will get removed if the file is opened in a newer version of Excel. Learn more: https://go.microsoft.com/fwlink/?linkid=870924
Comment:
    Expert métier
CSV et format SIG à regrouper</t>
      </text>
    </comment>
    <comment ref="K80" authorId="37" shapeId="0" xr:uid="{ACD56600-F7A6-403B-8692-32A322BF4DE8}">
      <text>
        <t>[Threaded comment]
Your version of Excel allows you to read this threaded comment; however, any edits to it will get removed if the file is opened in a newer version of Excel. Learn more: https://go.microsoft.com/fwlink/?linkid=870924
Comment:
    expert métier</t>
      </text>
    </comment>
    <comment ref="K81" authorId="38" shapeId="0" xr:uid="{97993331-B1A2-4AE0-8BB4-2F369A504207}">
      <text>
        <t>[Threaded comment]
Your version of Excel allows you to read this threaded comment; however, any edits to it will get removed if the file is opened in a newer version of Excel. Learn more: https://go.microsoft.com/fwlink/?linkid=870924
Comment:
    expert métier</t>
      </text>
    </comment>
    <comment ref="K82" authorId="39" shapeId="0" xr:uid="{1761F271-1DDB-43F4-989A-7F3C1AF1C235}">
      <text>
        <t>[Threaded comment]
Your version of Excel allows you to read this threaded comment; however, any edits to it will get removed if the file is opened in a newer version of Excel. Learn more: https://go.microsoft.com/fwlink/?linkid=870924
Comment:
    expert métier
préciser le format d'export ? redondant avec le rapport pdf ?</t>
      </text>
    </comment>
    <comment ref="K83" authorId="40" shapeId="0" xr:uid="{2D20C814-4E01-4C15-9832-A098CB18E8C2}">
      <text>
        <t>[Threaded comment]
Your version of Excel allows you to read this threaded comment; however, any edits to it will get removed if the file is opened in a newer version of Excel. Learn more: https://go.microsoft.com/fwlink/?linkid=870924
Comment:
    c'est normal que MVP soit à False ?</t>
      </text>
    </comment>
    <comment ref="K85" authorId="41" shapeId="0" xr:uid="{89CD35D5-BEC0-4223-88E4-487633D844DA}">
      <text>
        <t>[Threaded comment]
Your version of Excel allows you to read this threaded comment; however, any edits to it will get removed if the file is opened in a newer version of Excel. Learn more: https://go.microsoft.com/fwlink/?linkid=870924
Comment:
    redondance avec US 3.6</t>
      </text>
    </comment>
    <comment ref="K86" authorId="42" shapeId="0" xr:uid="{0DDF1EE2-4936-47E5-9F49-799A95C4C89E}">
      <text>
        <t>[Threaded comment]
Your version of Excel allows you to read this threaded comment; however, any edits to it will get removed if the file is opened in a newer version of Excel. Learn more: https://go.microsoft.com/fwlink/?linkid=870924
Comment:
    redondante avec l'US suivante et à scinder vue/fonctionnalités vs données:
En tant qu' administrateur plateforme,
Je veux restreindre l'accès aux fonctionnalités avancées selon le rôle de l'utilisateur,
Afin d' éviter les erreurs de manipulation et réserver les outils d'édition/export aux profils habilités. (front, mvp=true)
En tant qu' administrateur plateforme,
Je veux filtrer la visibilité des jeux de données et indicateurs sensibles selon le profil de l'utilisateur,
Afin de garantir la confidentialité des informations et respecter les conventions d'échange de données. (back, mvp = false car à priori pas de donnée sensible pour le moment ? je sais pas en fait)</t>
      </text>
    </comment>
    <comment ref="K89" authorId="43" shapeId="0" xr:uid="{BF3BAE90-EF69-46C9-863F-9CDFD17CDA38}">
      <text>
        <t>[Threaded comment]
Your version of Excel allows you to read this threaded comment; however, any edits to it will get removed if the file is opened in a newer version of Excel. Learn more: https://go.microsoft.com/fwlink/?linkid=870924
Comment:
    US1bis8 US9.6 US10.1 US10.2 US10.3 US10.4 10.6 à remanier en 2 ou 3 US je pense (redondance) 
proposition (pas forcément 
Suivi des Pipelines
En tant qu'administrateur, je veux consulter le journal d'exécution des flux (ETL, calculs d'indicateurs), afin de vérifier la bonne intégration des données et diagnostiquer les erreurs de traitement. 
Audit de Sécurité 
En tant qu'administrateur, je veux consulter le journal d'audit applicatif, afin de tracer les connexions, les modifications de droits et les actions de configuration système. (pas d'autres actions que ca je dirais vu que c'est pas une app de saisie)
Versioning Métier
En tant qu'administrateur, je veux consulter l'historique des versions de données, afin de suivre l'évolution des référentiels. =&gt; à voir je crois que tu as déjà mis US liées à ca</t>
      </text>
    </comment>
    <comment ref="K93" authorId="44" shapeId="0" xr:uid="{9AD64FD3-923E-4A7D-96DC-6C7A3B4698D7}">
      <text>
        <t>[Threaded comment]
Your version of Excel allows you to read this threaded comment; however, any edits to it will get removed if the file is opened in a newer version of Excel. Learn more: https://go.microsoft.com/fwlink/?linkid=870924
Comment:
    tu as deja mis un US "recalculer" plus haut + l'US10.5 tracer les calculs afin de reconstituer leur exécution 
tu parles de quel genre de calcul ? calcul d'indicateur , amc ? 
dans tous les cas je pense que c'est encore redondant avec d'autres us</t>
      </text>
    </comment>
    <comment ref="K98" authorId="45" shapeId="0" xr:uid="{1AFB474C-EAD3-47A9-B79C-6F7B7A82608E}">
      <text>
        <t>[Threaded comment]
Your version of Excel allows you to read this threaded comment; however, any edits to it will get removed if the file is opened in a newer version of Excel. Learn more: https://go.microsoft.com/fwlink/?linkid=870924
Comment:
    us7.4 + 7.2
être alerté des dépassement de seuils ou de changements significatifs
+ être alerté des nouveautés (intégrations de données, nouvelles fonctionnalités) régulièrement</t>
      </text>
    </comment>
    <comment ref="K99" authorId="46" shapeId="0" xr:uid="{97CFF8E2-EE5E-4368-B79D-CAF5DC422F94}">
      <text>
        <t>[Threaded comment]
Your version of Excel allows you to read this threaded comment; however, any edits to it will get removed if the file is opened in a newer version of Excel. Learn more: https://go.microsoft.com/fwlink/?linkid=870924
Comment:
    selon un classement multicritère</t>
      </text>
    </comment>
    <comment ref="K100" authorId="47" shapeId="0" xr:uid="{BD82F9FC-B14B-410C-8820-24C8C71B093F}">
      <text>
        <t>[Threaded comment]
Your version of Excel allows you to read this threaded comment; however, any edits to it will get removed if the file is opened in a newer version of Excel. Learn more: https://go.microsoft.com/fwlink/?linkid=870924
Comment:
    c'est quoi?
on a déjà 
En tant qu'expert métier eau potable, je veux visualiser la contribution de chaque indicateur au score de criticité afin de comprendre les facteurs de risque dominants.</t>
      </text>
    </comment>
  </commentList>
</comments>
</file>

<file path=xl/sharedStrings.xml><?xml version="1.0" encoding="utf-8"?>
<sst xmlns="http://schemas.openxmlformats.org/spreadsheetml/2006/main" count="3804" uniqueCount="985">
  <si>
    <t>EPIC</t>
  </si>
  <si>
    <t>ID User Story</t>
  </si>
  <si>
    <t>Libellé User Story</t>
  </si>
  <si>
    <t>MVP</t>
  </si>
  <si>
    <t>Front_or_Back</t>
  </si>
  <si>
    <t>Module</t>
  </si>
  <si>
    <t>Dépend de (Parent)</t>
  </si>
  <si>
    <t>Type fonctionnel</t>
  </si>
  <si>
    <t>Pilier(s)</t>
  </si>
  <si>
    <t>Profil utilisateur</t>
  </si>
  <si>
    <t>Phrase méthode agile</t>
  </si>
  <si>
    <t>Point d'effort prestataire</t>
  </si>
  <si>
    <t>Point d'effort estimé MOA</t>
  </si>
  <si>
    <t>EPIC 1 – Gestion des données</t>
  </si>
  <si>
    <t>US1.1</t>
  </si>
  <si>
    <t>Importer des données via fichier</t>
  </si>
  <si>
    <t>True</t>
  </si>
  <si>
    <t>Front-end</t>
  </si>
  <si>
    <t>Gestion des données &amp; catalogue</t>
  </si>
  <si>
    <t>Acquisition</t>
  </si>
  <si>
    <t>Pilier 1 – Connaissance &amp; Caractérisation</t>
  </si>
  <si>
    <t>Administrateur expert data</t>
  </si>
  <si>
    <t>En tant qu'administrateur expert data, je veux importer des données via fichier afin que la plateforme dispose de données fiables et homogènes.</t>
  </si>
  <si>
    <t>US1.2</t>
  </si>
  <si>
    <t>Connecter une API externe</t>
  </si>
  <si>
    <t>False</t>
  </si>
  <si>
    <t>En tant qu'administrateur expert data, je veux connecter une API externe afin d'alimenter la plateforme sans fichier.</t>
  </si>
  <si>
    <t>US1.3</t>
  </si>
  <si>
    <t>Planifier des imports simples</t>
  </si>
  <si>
    <t>Backend</t>
  </si>
  <si>
    <t>En tant qu'administrateur expert data, je veux planifier des imports simples afin que les données soient actualisées automatiquement.</t>
  </si>
  <si>
    <t>US1.4</t>
  </si>
  <si>
    <t>Normaliser les données</t>
  </si>
  <si>
    <t>Structuration</t>
  </si>
  <si>
    <t>En tant qu'administrateur expert data, je veux normaliser les données afin qu'elles soient homogènes et comparables.</t>
  </si>
  <si>
    <t>US1.5</t>
  </si>
  <si>
    <t>Gérer les erreurs d'import</t>
  </si>
  <si>
    <t>En tant qu'administrateur expert data, je veux gérer les erreurs d'import afin de corriger les données rejetées efficacement.</t>
  </si>
  <si>
    <t>US1.6</t>
  </si>
  <si>
    <t>Historiser les données</t>
  </si>
  <si>
    <t>Gouvernance</t>
  </si>
  <si>
    <t>Transverse (socle)</t>
  </si>
  <si>
    <t>En tant qu'administrateur expert data, je veux historiser les données afin de reconstituer leur évolution dans le temps.</t>
  </si>
  <si>
    <t>US1.7</t>
  </si>
  <si>
    <t>Rejouer un traitement</t>
  </si>
  <si>
    <t>En tant qu'administrateur expert data, je veux rejouer un traitement afin de recalculer un jeu de données après correction.</t>
  </si>
  <si>
    <t>EPIC 1bis – Catalogage des données</t>
  </si>
  <si>
    <t>US1bis.1</t>
  </si>
  <si>
    <t>Enregistrer un jeu de données dans le catalogue</t>
  </si>
  <si>
    <t>En tant qu'administrateur expert data, je veux enregistrer un jeu de données dans le catalogue afin qu'il soit référencé et trouvable.</t>
  </si>
  <si>
    <t>US1bis.2</t>
  </si>
  <si>
    <t>Associer des métadonnées à un jeu de données</t>
  </si>
  <si>
    <t>En tant qu'administrateur expert data, je veux associer des métadonnées à un jeu de données afin d'en documenter l'origine et la structure.</t>
  </si>
  <si>
    <t>US1bis.3</t>
  </si>
  <si>
    <t>Modifier les métadonnées d'un jeu de données</t>
  </si>
  <si>
    <t>En tant qu'administrateur expert data, je veux modifier les métadonnées afin de maintenir le catalogue à jour.</t>
  </si>
  <si>
    <t>US1bis.4</t>
  </si>
  <si>
    <t>Consulter les informations d'un jeu de données</t>
  </si>
  <si>
    <t>En tant qu'administrateur expert data, je veux consulter les informations d'un jeu de données afin d'en connaître le contenu et la source.</t>
  </si>
  <si>
    <t>US1bis.5</t>
  </si>
  <si>
    <t>Rechercher un jeu de données dans le catalogue</t>
  </si>
  <si>
    <t>En tant qu'administrateur expert data, je veux rechercher un jeu de données afin de le retrouver rapidement dans le catalogue.</t>
  </si>
  <si>
    <t>US1bis.6</t>
  </si>
  <si>
    <t>Filtrer les jeux de données selon des critères</t>
  </si>
  <si>
    <t>En tant qu'administrateur expert data, je veux filtrer les jeux de données selon des critères afin de restreindre la liste du catalogue.</t>
  </si>
  <si>
    <t>US1bis.7</t>
  </si>
  <si>
    <t>Visualiser les relations entre indicateur et données sources</t>
  </si>
  <si>
    <t>En tant qu'administrateur expert data, je veux visualiser les relations entre un indicateur et ses données sources afin d'en comprendre la provenance.</t>
  </si>
  <si>
    <t>US1bis.8</t>
  </si>
  <si>
    <t>Tracer les transformations appliquées à un jeu de données</t>
  </si>
  <si>
    <t>En tant qu'administrateur expert data, je veux tracer les transformations appliquées à un jeu de données afin d'en garantir la reproductibilité.</t>
  </si>
  <si>
    <t>US1bis.9</t>
  </si>
  <si>
    <t>Identifier une donnée comme source ou dérivée</t>
  </si>
  <si>
    <t>En tant qu'administrateur expert data, je veux identifier une donnée comme source ou dérivée afin de clarifier sa place dans la chaîne.</t>
  </si>
  <si>
    <t>US1bis.10</t>
  </si>
  <si>
    <t>Alimenter automatiquement le catalogue lors des imports</t>
  </si>
  <si>
    <t>US1.1 ; US1bis.1</t>
  </si>
  <si>
    <t>En tant qu'administrateur expert data, je veux alimenter automatiquement le catalogue lors des imports afin d'éviter les saisies manuelles.</t>
  </si>
  <si>
    <t>US1bis.11</t>
  </si>
  <si>
    <t>Relier un jeu de données à un traitement (ex : dbt)</t>
  </si>
  <si>
    <t>En tant qu'administrateur expert data, je veux relier un jeu de données à un traitement afin d'en retracer l'élaboration.</t>
  </si>
  <si>
    <t>US1bis.12</t>
  </si>
  <si>
    <t>Enregistrer un indicateur comme donnée dérivée</t>
  </si>
  <si>
    <t>US3.5</t>
  </si>
  <si>
    <t>En tant qu'administrateur expert data, je veux enregistrer un indicateur comme donnée dérivée afin qu'il soit identifié comme tel dans le catalogue.</t>
  </si>
  <si>
    <t>US1bis.13</t>
  </si>
  <si>
    <t>Consulter les métadonnées d'un indicateur</t>
  </si>
  <si>
    <t>En tant qu'administrateur expert data, je veux consulter les métadonnées d'un indicateur afin d'en vérifier la définition et la méthode.</t>
  </si>
  <si>
    <t>US1bis.14</t>
  </si>
  <si>
    <t>Ajouter un nouveau jeu de données sans modifier la structure</t>
  </si>
  <si>
    <t>En tant qu'administrateur expert data, je veux ajouter un nouveau jeu de données sans modifier la structure afin d'étendre le catalogue à moindre coût.</t>
  </si>
  <si>
    <t>US1bis.15</t>
  </si>
  <si>
    <t>Historiser les modifications des métadonnées</t>
  </si>
  <si>
    <t>En tant qu'administrateur expert data, je veux historiser les modifications des métadonnées afin de tracer les évolutions du catalogue.</t>
  </si>
  <si>
    <t>EPIC 2 – Qualité des données</t>
  </si>
  <si>
    <t>US2.1</t>
  </si>
  <si>
    <t>Détecter des valeurs aberrantes</t>
  </si>
  <si>
    <t>Suivi qualité &amp; traçabilité</t>
  </si>
  <si>
    <t>Qualification</t>
  </si>
  <si>
    <t>Pilier 1 – Connaissance &amp; Caractérisation (fondement)</t>
  </si>
  <si>
    <t>En tant qu'administrateur expert data, je veux détecter des valeurs aberrantes afin d'identifier les données à corriger.</t>
  </si>
  <si>
    <t>US2.2</t>
  </si>
  <si>
    <t>Vérifier cohérence temporelle</t>
  </si>
  <si>
    <t>En tant qu'administrateur expert data, je veux vérifier la cohérence temporelle afin de détecter les incohérences de dates.</t>
  </si>
  <si>
    <t>US2.3</t>
  </si>
  <si>
    <t>Vérifier cohérence spatiale</t>
  </si>
  <si>
    <t>En tant qu'administrateur expert data, je veux vérifier la cohérence spatiale afin de détecter les incohérences géographiques.</t>
  </si>
  <si>
    <t>US2.4</t>
  </si>
  <si>
    <t>Calculer un taux de complétude</t>
  </si>
  <si>
    <t>En tant qu'administrateur expert data, je veux calculer un taux de complétude afin de mesurer la couverture des données.</t>
  </si>
  <si>
    <t>US2.5</t>
  </si>
  <si>
    <t>Qualifier la fiabilité</t>
  </si>
  <si>
    <t>En tant qu'administrateur expert data, je veux qualifier la fiabilité afin d'évaluer la confiance à accorder aux données.</t>
  </si>
  <si>
    <t>US2.6</t>
  </si>
  <si>
    <t>Associer des métadonnées</t>
  </si>
  <si>
    <t>En tant qu'administrateur expert data, je veux associer des métadonnées de qualité afin de documenter les contrôles effectués.</t>
  </si>
  <si>
    <t>US2.7</t>
  </si>
  <si>
    <t>Visualiser la qualité</t>
  </si>
  <si>
    <t>En tant qu'administrateur expert data, je veux visualiser la qualité afin de repérer les jeux de données fiables.</t>
  </si>
  <si>
    <t>EPIC 3 – Référentiels</t>
  </si>
  <si>
    <t>US3.1</t>
  </si>
  <si>
    <t>Gérer les bassins versants</t>
  </si>
  <si>
    <t>Administration &amp; profils</t>
  </si>
  <si>
    <t>En tant qu'administrateur expert data, je veux gérer les bassins versants afin de maintenir le référentiel à jour.</t>
  </si>
  <si>
    <t>US3.2</t>
  </si>
  <si>
    <t>Gérer les captages</t>
  </si>
  <si>
    <t>En tant qu'administrateur expert data, je veux gérer les captages afin de maintenir le référentiel à jour.</t>
  </si>
  <si>
    <t>US3.3</t>
  </si>
  <si>
    <t>Gérer périmètres de protection</t>
  </si>
  <si>
    <t>En tant qu'administrateur expert data, je veux gérer les périmètres de protection afin de les représenter sur la carte.</t>
  </si>
  <si>
    <t>US3.4</t>
  </si>
  <si>
    <t>Gérer la maille H3</t>
  </si>
  <si>
    <t>En tant qu'administrateur expert data, je veux gérer la maille H3 afin de garantir la cohérence des agrégations.</t>
  </si>
  <si>
    <t>Définir un indicateur</t>
  </si>
  <si>
    <t>En tant qu'administrateur expert data, je veux définir un indicateur afin de le rendre calculable et affichable.</t>
  </si>
  <si>
    <t>US3.6</t>
  </si>
  <si>
    <t>Gérer les profils utilisateurs</t>
  </si>
  <si>
    <t>Administrateur plateforme</t>
  </si>
  <si>
    <t>En tant qu'administrateur plateforme, je veux gérer les profils utilisateurs et leurs droits afin de contrôler les accès à la plateforme.</t>
  </si>
  <si>
    <t>US3.7</t>
  </si>
  <si>
    <t>Versionner les référentiels</t>
  </si>
  <si>
    <t>En tant qu'administrateur expert data, je veux versionner les référentiels afin de conserver l'historique de leurs évolutions.</t>
  </si>
  <si>
    <t>EPIC 4 – Calcul d'indicateurs</t>
  </si>
  <si>
    <t>US4.1</t>
  </si>
  <si>
    <t>Calculer des indicateurs simples</t>
  </si>
  <si>
    <t>US3.5 ; US4.7 ; US1bis.12</t>
  </si>
  <si>
    <t>Exploitation</t>
  </si>
  <si>
    <t>Pilier 2 – Diagnostic &amp; Analyse multicritère (+ Pilier 3)</t>
  </si>
  <si>
    <t>En tant qu'administrateur expert data, je veux calculer des indicateurs simples afin de produire des valeurs fiables.</t>
  </si>
  <si>
    <t>US4.2</t>
  </si>
  <si>
    <t>Agréger à l'échelle BV</t>
  </si>
  <si>
    <t>US3.1 ; US4.1</t>
  </si>
  <si>
    <t>En tant qu'administrateur expert data, je veux agréger à l'échelle du bassin versant afin de disposer de valeurs synthétiques.</t>
  </si>
  <si>
    <t>US4.3</t>
  </si>
  <si>
    <t>Agrégation temporelle</t>
  </si>
  <si>
    <t>US1.6 ; US4.1 ; US6.24</t>
  </si>
  <si>
    <t>En tant qu'administrateur expert data, je veux agréger les données dans le temps afin de produire des séries comparables.</t>
  </si>
  <si>
    <t>US4.4</t>
  </si>
  <si>
    <t>Paramétrer un calcul</t>
  </si>
  <si>
    <t>En tant qu'administrateur expert data, je veux paramétrer un calcul afin d'ajuster les règles de production de l'indicateur.</t>
  </si>
  <si>
    <t>US4.5</t>
  </si>
  <si>
    <t>Filtrer les données</t>
  </si>
  <si>
    <t>En tant qu'administrateur expert data, je veux filtrer les données afin de restreindre le calcul aux valeurs pertinentes.</t>
  </si>
  <si>
    <t>US4.6</t>
  </si>
  <si>
    <t>Versionner un indicateur</t>
  </si>
  <si>
    <t>En tant qu'administrateur expert data, je veux versionner un indicateur afin de conserver la traçabilité de ses évolutions.</t>
  </si>
  <si>
    <t>US4.7</t>
  </si>
  <si>
    <t>Recalculer un indicateur</t>
  </si>
  <si>
    <t>En tant qu'administrateur expert data, je veux recalculer un indicateur afin de mettre à jour les valeurs après correction.</t>
  </si>
  <si>
    <t>EPIC 5 – Analyse multicritère</t>
  </si>
  <si>
    <t>US5.1</t>
  </si>
  <si>
    <t>Construire un indice composite</t>
  </si>
  <si>
    <t>Suivi &amp; veille</t>
  </si>
  <si>
    <t>En tant qu'administrateur expert data, je veux construire un indice composite afin de fournir une base transparente pour l'aide à la décision.</t>
  </si>
  <si>
    <t>US5.2</t>
  </si>
  <si>
    <t>Définir des pondérations</t>
  </si>
  <si>
    <t>Expert métier eau potable</t>
  </si>
  <si>
    <t>En tant qu'expert métier eau potable, je veux définir les pondérations de l'analyse multicritère afin d'évaluer le risque réel de dégradation de la ressource.</t>
  </si>
  <si>
    <t>US5.3</t>
  </si>
  <si>
    <t>Tester des scénarios</t>
  </si>
  <si>
    <t>US5.1 ; US5.2</t>
  </si>
  <si>
    <t>En tant qu'expert métier eau potable, je veux tester des scénarios de pondération afin d'analyser l'impact des différents facteurs sur le classement de criticité.</t>
  </si>
  <si>
    <t>US5.4</t>
  </si>
  <si>
    <t>Comparer scénarios</t>
  </si>
  <si>
    <t>US5.1 ; US5.3</t>
  </si>
  <si>
    <t>En tant qu'expert métier eau potable, je veux comparer les scénarios de l'analyse multicritère afin d'identifier la pondération la plus représentative du terrain.</t>
  </si>
  <si>
    <t>US5.5</t>
  </si>
  <si>
    <t>Visualiser contributions</t>
  </si>
  <si>
    <t>US5.1 ; US5.3 ; US5.4</t>
  </si>
  <si>
    <t>En tant qu'expert métier eau potable, je veux visualiser la contribution de chaque indicateur au score de criticité afin de comprendre les facteurs de risque dominants.</t>
  </si>
  <si>
    <t>US5.6</t>
  </si>
  <si>
    <t>Documenter méthodes</t>
  </si>
  <si>
    <t>En tant qu'administrateur expert data, je veux documenter les méthodes de calcul afin d'assurer la transparence de l'aide à la décision.</t>
  </si>
  <si>
    <t>EPIC 6 – Visualisation</t>
  </si>
  <si>
    <t>US6.1</t>
  </si>
  <si>
    <t>Visualiser sur carte</t>
  </si>
  <si>
    <t>Cartographie &amp; exploration &gt; Cartographie</t>
  </si>
  <si>
    <t>Restitution – Diffusion</t>
  </si>
  <si>
    <t>Pilier 4 – Partage &amp; Diffusion</t>
  </si>
  <si>
    <t>Intéressé public</t>
  </si>
  <si>
    <t>En tant qu'intéressé public, je veux visualiser les données sur carte afin de situer les territoires concernés.</t>
  </si>
  <si>
    <t>US6.2</t>
  </si>
  <si>
    <t>Afficher indicateurs carto</t>
  </si>
  <si>
    <t>En tant qu'intéressé public, je veux afficher les indicateurs sur la carte afin d'en lire la répartition géographique.</t>
  </si>
  <si>
    <t>US6.3</t>
  </si>
  <si>
    <t>Navigation (zoom filtres)</t>
  </si>
  <si>
    <t>En tant qu'intéressé public, je veux naviguer sur la carte afin d'explorer librement le territoire.</t>
  </si>
  <si>
    <t>US6.4</t>
  </si>
  <si>
    <t>Graphiques temporels</t>
  </si>
  <si>
    <t>Cartographie &amp; exploration &gt; Visualisation &amp; dataviz</t>
  </si>
  <si>
    <t>US6.7</t>
  </si>
  <si>
    <t>En tant qu'expert métier eau potable, je veux consulter l'évolution temporelle des indicateurs afin d'identifier les dynamiques impactant la ressource.</t>
  </si>
  <si>
    <t>US6.5</t>
  </si>
  <si>
    <t>Comparer territoires</t>
  </si>
  <si>
    <t>Décideur métier</t>
  </si>
  <si>
    <t>En tant que décideur métier, je veux comparer des territoires afin d'arbitrer les investissements.</t>
  </si>
  <si>
    <t>US6.6</t>
  </si>
  <si>
    <t>Tableau de bord avancé</t>
  </si>
  <si>
    <t>En tant que décideur métier, je veux disposer d'un tableau de bord avancé afin d'avoir une vue agrégée de l'information.</t>
  </si>
  <si>
    <t>Fiche territoire</t>
  </si>
  <si>
    <t>Cartographie &amp; exploration &gt; Fiches &amp; synthèse territoriale</t>
  </si>
  <si>
    <t>En tant que décideur métier, je veux consulter une fiche territoire afin d'avoir une synthèse d'un bassin versant.</t>
  </si>
  <si>
    <t>US6.8</t>
  </si>
  <si>
    <t>Basculer l'échelle d'analyse Captages ↔ Bassins versants</t>
  </si>
  <si>
    <t>US3.1 ; US3.2</t>
  </si>
  <si>
    <t>En tant qu'administrateur expert data, je veux basculer l'échelle d'analyse entre captages et bassins versants afin de changer de niveau de lecture.</t>
  </si>
  <si>
    <t>US6.9</t>
  </si>
  <si>
    <t>Afficher le compteur d'unités sélectionnées</t>
  </si>
  <si>
    <t>Cartographie &amp; exploration &gt; Outils d'exploration</t>
  </si>
  <si>
    <t>En tant qu'intéressé public, je veux afficher le compteur d'unités sélectionnées afin de connaître le périmètre courant.</t>
  </si>
  <si>
    <t>US6.10</t>
  </si>
  <si>
    <t>Rechercher avec suggestions (commune, province, captage, presets)</t>
  </si>
  <si>
    <t>Cartographie &amp; exploration &gt; Sélecteur de captages / BV</t>
  </si>
  <si>
    <t>En tant qu'intéressé public, je veux rechercher avec des suggestions afin de trouver rapidement un captage ou une commune.</t>
  </si>
  <si>
    <t>US6.11</t>
  </si>
  <si>
    <t>Cumuler plusieurs facettes de recherche (sélection multiple)</t>
  </si>
  <si>
    <t>En tant qu'intéressé public, je veux cumuler plusieurs facettes de recherche afin d'affiner ma sélection.</t>
  </si>
  <si>
    <t>US6.12</t>
  </si>
  <si>
    <t>Afficher les facettes actives en puces décochables (SOLR/CKAN)</t>
  </si>
  <si>
    <t>En tant qu'intéressé public, je veux voir les facettes actives en puces afin de savoir quels filtres sont appliqués.</t>
  </si>
  <si>
    <t>US6.13</t>
  </si>
  <si>
    <t>Appliquer un preset « Top 10 » (plus/moins exposés, plus/moins proches) et pouvoir le retirer</t>
  </si>
  <si>
    <t>En tant qu'intéressé public, je veux appliquer un preset afin d'afficher rapidement les territoires les plus concernés.</t>
  </si>
  <si>
    <t>US6.14</t>
  </si>
  <si>
    <t>Décocher une facette pour retirer filtre ou sélection</t>
  </si>
  <si>
    <t>En tant qu'intéressé public, je veux décocher une facette afin de retirer un filtre en un clic.</t>
  </si>
  <si>
    <t>US6.15</t>
  </si>
  <si>
    <t>Sélectionner / désélectionner / retirer une unité individuellement</t>
  </si>
  <si>
    <t>En tant qu'intéressé public, je veux sélectionner ou retirer une unité individuellement afin de personnaliser ma sélection.</t>
  </si>
  <si>
    <t>US6.16</t>
  </si>
  <si>
    <t>Conserver indépendamment les sélections Captages et Bassins versants</t>
  </si>
  <si>
    <t>En tant qu'administrateur expert data, je veux conserver indépendamment les sélections captages et bassins versants afin de ne pas les mélanger.</t>
  </si>
  <si>
    <t>US6.17</t>
  </si>
  <si>
    <t>Trier la liste (distance / nom)</t>
  </si>
  <si>
    <t>En tant qu'intéressé public, je veux trier la liste par distance ou par nom afin d'organiser ma lecture.</t>
  </si>
  <si>
    <t>US6.18</t>
  </si>
  <si>
    <t>Calculer les communes intersectant un BV (≥ 20 %) pour la facette Commune</t>
  </si>
  <si>
    <t>En tant qu'administrateur expert data, je veux calculer les communes intersectant un bassin versant afin d'alimenter la facette Commune.</t>
  </si>
  <si>
    <t>US6.19</t>
  </si>
  <si>
    <t>Mettre en évidence le croisement captages ↔ BV sur la carte</t>
  </si>
  <si>
    <t>En tant qu'administrateur expert data, je veux mettre en évidence le croisement captages et bassins versants afin de comprendre leurs liens.</t>
  </si>
  <si>
    <t>US6.20</t>
  </si>
  <si>
    <t>Choisir le fond de carte (Carto / Satellite / Terrain) via un sélecteur posé sur la carte</t>
  </si>
  <si>
    <t>En tant qu'intéressé public, je veux choisir le fond de carte afin d'adapter ma lecture au contexte.</t>
  </si>
  <si>
    <t>US6.21</t>
  </si>
  <si>
    <t>Afficher / masquer chaque couche (BV, captages, périmètres, zones à risque) depuis une section « Couches » du volet gauche</t>
  </si>
  <si>
    <t>En tant qu'administrateur expert data, je veux afficher ou masquer chaque couche afin de personnaliser ce qui est visible.</t>
  </si>
  <si>
    <t>[object Object]</t>
  </si>
  <si>
    <t>US6.22</t>
  </si>
  <si>
    <t>Rechercher un indicateur dans un dropdown groupé Famille → Thème → Groupe</t>
  </si>
  <si>
    <t>Cartographie &amp; exploration &gt; Catalogue d'indicateurs</t>
  </si>
  <si>
    <t>En tant qu'intéressé public, je veux rechercher un indicateur par famille, thème et groupe afin de le retrouver rapidement.</t>
  </si>
  <si>
    <t>US6.23</t>
  </si>
  <si>
    <t>Consulter la fiche métadonnées depuis la vignette de l'indicateur (pas depuis les graphiques)</t>
  </si>
  <si>
    <t>En tant qu'administrateur expert data, je veux consulter la fiche métadonnées d'un indicateur afin d'en vérifier la définition.</t>
  </si>
  <si>
    <t>US6.24</t>
  </si>
  <si>
    <t>Basculer chaque graphique entre les vues graphique / Temporel / Changements / H3</t>
  </si>
  <si>
    <t>En tant qu'expert métier eau potable, je veux basculer entre les vues graphiques afin d'analyser la répartition spatiale et l'évolution temporelle.</t>
  </si>
  <si>
    <t>US6.25</t>
  </si>
  <si>
    <t>Voir toute la liste des indicateurs (38) regroupée Famille → Thème → Groupe</t>
  </si>
  <si>
    <t>En tant qu'intéressé public, je veux voir toute la liste des indicateurs afin de connaître ce qui est disponible.</t>
  </si>
  <si>
    <t>US6.26</t>
  </si>
  <si>
    <t>Présélectionner les indicateurs du volet droit par famille (tabs), thèmes (pills) et groupe (dropdown)</t>
  </si>
  <si>
    <t>En tant qu'administrateur expert data, je veux présélectionner les indicateurs par famille afin d'orienter l'usage du volet droit.</t>
  </si>
  <si>
    <t>EPIC 8 – Export</t>
  </si>
  <si>
    <t>US8.1</t>
  </si>
  <si>
    <t>Export CSV</t>
  </si>
  <si>
    <t>Export &amp; diffusion</t>
  </si>
  <si>
    <t>En tant qu'administrateur expert data, je veux exporter les données en CSV afin de les réutiliser dans d'autres traitements.</t>
  </si>
  <si>
    <t>US8.2</t>
  </si>
  <si>
    <t>Export SIG</t>
  </si>
  <si>
    <t>En tant qu'administrateur expert data, je veux exporter au format SIG afin de réutiliser les données dans un logiciel cartographique.</t>
  </si>
  <si>
    <t>US8.3</t>
  </si>
  <si>
    <t>Rapport PDF</t>
  </si>
  <si>
    <t>En tant que décideur métier, je veux générer un rapport PDF afin de présenter les résultats au conseil municipal et formaliser la prise de décision.</t>
  </si>
  <si>
    <t>US8.4</t>
  </si>
  <si>
    <t>Partage lien</t>
  </si>
  <si>
    <t>En tant qu'administrateur expert data, je veux partager un lien afin de transmettre une vue des données à un collaborateur.</t>
  </si>
  <si>
    <t>US8.5</t>
  </si>
  <si>
    <t>API</t>
  </si>
  <si>
    <t>En tant qu'administrateur expert data, je veux accéder aux données via une API afin de les réutiliser dans d'autres systèmes.</t>
  </si>
  <si>
    <t>US8.6</t>
  </si>
  <si>
    <t>Export vue simple</t>
  </si>
  <si>
    <t>En tant qu'administrateur expert data, je veux exporter une vue simple afin de partager un état des données.</t>
  </si>
  <si>
    <t>EPIC 9 – Utilisateurs</t>
  </si>
  <si>
    <t>US9.1</t>
  </si>
  <si>
    <t>Créer compte</t>
  </si>
  <si>
    <t>US9.2</t>
  </si>
  <si>
    <t>En tant qu'administrateur plateforme, je veux créer des comptes utilisateurs afin de permettre à chaque usager d'accéder à la plateforme.</t>
  </si>
  <si>
    <t>Authentification</t>
  </si>
  <si>
    <t>En tant qu'administrateur plateforme, je veux mettre en place l'authentification des utilisateurs afin de sécuriser l'accès à la plateforme.</t>
  </si>
  <si>
    <t>US9.3</t>
  </si>
  <si>
    <t>Rôles simples</t>
  </si>
  <si>
    <t>En tant qu'administrateur plateforme, je veux définir des rôles simples afin d'attribuer des droits adaptés à chaque profil.</t>
  </si>
  <si>
    <t>US9.4</t>
  </si>
  <si>
    <t>Restreindre accès fin</t>
  </si>
  <si>
    <t>US9.3 ; US8.4 ; US8.5</t>
  </si>
  <si>
    <t>En tant qu'administrateur plateforme, je veux restreindre finement l'accès aux données et aux fonctionnalités afin de limiter la consultation aux seuls droits autorisés.</t>
  </si>
  <si>
    <t>US9.5</t>
  </si>
  <si>
    <t>Adapter interface</t>
  </si>
  <si>
    <t>US9.2 ; US9.3</t>
  </si>
  <si>
    <t>En tant qu'administrateur plateforme, je veux adapter l'interface selon le profil de l'utilisateur afin d'afficher les fonctionnalités pertinentes pour chacun.</t>
  </si>
  <si>
    <t>US9.6</t>
  </si>
  <si>
    <t>Suivre connexions</t>
  </si>
  <si>
    <t>En tant qu'administrateur plateforme, je veux suivre les connexions des utilisateurs afin de surveiller l'utilisation de la plateforme.</t>
  </si>
  <si>
    <t>EPIC 10 – Traçabilité</t>
  </si>
  <si>
    <t>US10.1</t>
  </si>
  <si>
    <t>Tracer imports</t>
  </si>
  <si>
    <t>En tant qu'administrateur expert data, je veux tracer les imports afin de savoir quelles données ont été chargées.</t>
  </si>
  <si>
    <t>US10.2</t>
  </si>
  <si>
    <t>Tracer calculs</t>
  </si>
  <si>
    <t>En tant qu'administrateur expert data, je veux tracer les calculs afin de reconstituer leur exécution.</t>
  </si>
  <si>
    <t>US10.3</t>
  </si>
  <si>
    <t>Journal actions</t>
  </si>
  <si>
    <t>En tant qu'administrateur plateforme, je veux consulter le journal des actions afin de tracer les opérations effectuées sur la plateforme.</t>
  </si>
  <si>
    <t>US10.4</t>
  </si>
  <si>
    <t>Historique modifications</t>
  </si>
  <si>
    <t>En tant qu'administrateur expert data, je veux consulter l'historique des modifications afin de suivre les changements.</t>
  </si>
  <si>
    <t>US10.5</t>
  </si>
  <si>
    <t>Reconstituer calcul</t>
  </si>
  <si>
    <t>US1.6 ; US10.2</t>
  </si>
  <si>
    <t>En tant qu'administrateur expert data, je veux reconstituer un calcul afin de vérifier un résultat passé.</t>
  </si>
  <si>
    <t>US10.6</t>
  </si>
  <si>
    <t>Audit usages</t>
  </si>
  <si>
    <t>En tant qu'administrateur plateforme, je veux auditer les usages de la plateforme afin de contrôler les accès et de justifier les actions.</t>
  </si>
  <si>
    <t>EPIC 7 – Aide à la décision</t>
  </si>
  <si>
    <t>US7.1</t>
  </si>
  <si>
    <t>Définir des seuils</t>
  </si>
  <si>
    <t>En tant qu'expert métier eau potable, je veux définir des seuils d'alerte afin de qualifier les valeurs des indicateurs et être averti des situations critiques.</t>
  </si>
  <si>
    <t>US7.2</t>
  </si>
  <si>
    <t>Détecter dépassement</t>
  </si>
  <si>
    <t>En tant qu'expert métier eau potable, je veux détecter les dépassements de seuil afin d'anticiper les périodes de tension sur la ressource.</t>
  </si>
  <si>
    <t>US7.3</t>
  </si>
  <si>
    <t>Identifier tendances</t>
  </si>
  <si>
    <t>En tant que décideur métier, je veux identifier des tendances sur les indicateurs afin de détecter les évolutions préoccupantes de la ressource.</t>
  </si>
  <si>
    <t>US7.4</t>
  </si>
  <si>
    <t>Détecter et alerter sur un changement significatif</t>
  </si>
  <si>
    <t>US7.1 ; US7.3</t>
  </si>
  <si>
    <t>En tant qu'expert métier eau potable, je veux être alerté lors de la détection d'un changement significatif sur un indicateur ou un territoire afin de déclencher une analyse ou une action en temps opportun.</t>
  </si>
  <si>
    <t>US7.5</t>
  </si>
  <si>
    <t>Prioriser territoires</t>
  </si>
  <si>
    <t>En tant qu'expert métier eau potable, je veux prioriser les territoires selon leur score de criticité afin de concentrer les actions sur les zones les plus sensibles.</t>
  </si>
  <si>
    <t>US7.6</t>
  </si>
  <si>
    <t>Aide à interprétation avancée</t>
  </si>
  <si>
    <t>En tant qu'expert métier eau potable, je veux utiliser l'aide à l'interprétation avancée.</t>
  </si>
  <si>
    <t>Identifiant test</t>
  </si>
  <si>
    <t>Libellé scénario</t>
  </si>
  <si>
    <t>Scénario testable (complet)</t>
  </si>
  <si>
    <t>Point d'effort prestataire (1er niveau)</t>
  </si>
  <si>
    <t>US1.1-SC01</t>
  </si>
  <si>
    <t>Import d'un fichier CSV conforme</t>
  </si>
  <si>
    <t>Étant donné un administrateur expert data connecté, Quand il importe un fichier CSV conforme au modèle attendu (en-têtes, types, unités), Alors les données sont enregistrées dans la plateforme, Et un message de succès indique le nombre de lignes chargées, Et le jeu de données apparaît dans le catalogue comme donnée source.</t>
  </si>
  <si>
    <t>US1.1-SC02</t>
  </si>
  <si>
    <t>Import de données SIG (Shapefile/GeoJSON)</t>
  </si>
  <si>
    <t>Étant donné un fichier au format SIG (Shapefile, GeoJSON), Quand il est importé, Alors les géométries sont validées et converties dans le système de coordonnées de référence de la plateforme, Et les enregistrements invalides sont rejetés avec leur motif.</t>
  </si>
  <si>
    <t>US1.1-SC03</t>
  </si>
  <si>
    <t>Détection des doublons à l'import</t>
  </si>
  <si>
    <t>Étant donné un fichier contenant des doublons (même identifiant captage et même date), Quand l'import est lancé, Alors les doublons sont détectés et signalés, Et aucun doublon n'est enregistré sans validation explicite de l'administrateur.</t>
  </si>
  <si>
    <t>US1.1-SC04</t>
  </si>
  <si>
    <t>Exécution asynchrone d'un import volumineux</t>
  </si>
  <si>
    <t>Étant donné un import volumineux ou long, Quand l'import est lancé, Alors il s'exécute de manière asynchrone avec un statut visible (en cours / terminé / échec), sans bloquer les autres actions de l'administrateur.</t>
  </si>
  <si>
    <t>US1.1-SC05</t>
  </si>
  <si>
    <t>Refus d'un fichier non conforme</t>
  </si>
  <si>
    <t>Étant donné un fichier non conforme (extension non supportée, colonnes obligatoires manquantes), Quand l'administrateur tente l'import, Alors l'import est refusée et un message d'erreur explicite liste les anomalies détectées.</t>
  </si>
  <si>
    <t>US1.3-SC01</t>
  </si>
  <si>
    <t>Planification d'imports automatiques</t>
  </si>
  <si>
    <t>Étant donné une source de données fichier, Quand l'administrateur définit une planification (fréquence journalière, hebdomadaire, mensuelle, heure d'exécution), Alors l'import est exécuté automatiquement à l'échéance prévue, Et chaque exécution est tracée (date, heure, source, résultat, volumétrie). - Quand un import planifié échoue, Alors son statut passe à « échec », l'événement est journalisé avec le motif, Et les exécutions suivantes restent programmées. - Quand la planification est modifiée ou supprimée, Alors seules les nouvelles exécutions respectent la configuration courante, les exécutions déjà tracées restant inchangées. - Quand deux imports planifiés se chevauchent, Alors le système les sérialise ou refuse le chevauchement sans perte de données.</t>
  </si>
  <si>
    <t>US1.3-SC02</t>
  </si>
  <si>
    <t>Échec d'un import planifié sans source</t>
  </si>
  <si>
    <t>Étant donné un import planifié sans fichier source disponible à l'échéance, Alors l'exécution est signalée en échec avec un motif explicite, Et aucune donnée partielle ou vide n'est enregistrée.</t>
  </si>
  <si>
    <t>US1.4-SC01</t>
  </si>
  <si>
    <t>Normalisation de données hétérogènes</t>
  </si>
  <si>
    <t>Étant donné des données brutes hétérogènes (unités, formats de date, nomenclatures), Quand elles sont intégrées, Alors elles sont converties selon les règles de normalisation de la plateforme (unités de référence, dates ISO 8601, identifiants des référentiels), Et chaque transformation est documentée et tracée.</t>
  </si>
  <si>
    <t>US1.4-SC02</t>
  </si>
  <si>
    <t>Rattachement à un objet du référentiel</t>
  </si>
  <si>
    <t>Étant donné une valeur référant à un captage ou un BVAEP, Quand la normalisation s'exécute, Alors la valeur est rattachée à l'objet correspondant du référentiel, Et toute valeur non rattachable est signalée en anomalie sans bloquer le reste du jeu.</t>
  </si>
  <si>
    <t>US1.4-SC03</t>
  </si>
  <si>
    <t>Rejet d'une valeur hors plage</t>
  </si>
  <si>
    <t>Étant donné une valeur numérique hors plage ou un format inattendu, Quand la normalisation échoue pour cette ligne, Alors la ligne est marquée « non normalisée », Et le reste du jeu est traité sans blocage global. - Quand aucune règle de normalisation n'existe pour une colonne obligatoire, Alors l'import est refusée avec un message renvoyant vers la configuration de la source. - Quand un jeu de données normalisé est réimporté, Alors les mêmes règles produisent les mêmes valeurs (reproductibilité de la normalisation).</t>
  </si>
  <si>
    <t>US1.5-SC01</t>
  </si>
  <si>
    <t>Rapport d'erreurs avec rejet partiel</t>
  </si>
  <si>
    <t>Étant donné un fichier CSV contenant 3 lignes invalides sur 100, Quand l'import est exécuté, Alors un rapport d'erreurs est généré listant les 3 lignes avec leur motif de rejet, Et les 97 lignes valides sont enregistrées. - Quand l'administrateur ouvre le rapport d'erreurs, Alors il voit pour chaque erreur le numéro de ligne, la valeur en cause et le motif (type, plage, rattachement référentiel, doublon).</t>
  </si>
  <si>
    <t>US1.5-SC02</t>
  </si>
  <si>
    <t>Refus global d'un import invalide</t>
  </si>
  <si>
    <t>Étant donné un fichier entièrement invalide, Quand aucun enregistrement ne passe les contrôles, Alors l'import est refusée dans sa globalité et aucun enregistrement n'est créé. - Quand un import se termine avec des rejets, Alors un message d'alerte informe l'administrateur du nombre d'enregistrements rejetés, avec un lien vers le rapport d'erreurs.</t>
  </si>
  <si>
    <t>US1.5-SC03</t>
  </si>
  <si>
    <t>Relance d'import après correction</t>
  </si>
  <si>
    <t>Étant donné un fichier corrigé après un rejet, Quand l'administrateur relance l'import, Alors seules les nouvelles anomalies sont signalées, les lignes précédemment corrigées n'apparaissant plus dans le rapport.</t>
  </si>
  <si>
    <t>US1.6-SC01</t>
  </si>
  <si>
    <t>Création de versions historisées</t>
  </si>
  <si>
    <t>Étant donné un jeu de données déjà importé, Quand un nouvel import met à jour ce jeu, Alors une nouvelle version est créée, Et les versions antérieures sont intégralement conservées et consultables. - Quand une donnée est modifiée ou supprimée, Alors l'historisation conserve l'intégralité des versions antérieures : aucune valeur écrasée n'est perdue.</t>
  </si>
  <si>
    <t>US1.6-SC02</t>
  </si>
  <si>
    <t>Reconstitution d'un état à une date</t>
  </si>
  <si>
    <t>Étant donné une date de référence, Quand l'administrateur interroge l'historique, Alors il peut reconstituer l'état du jeu de données tel qu'il existait à cette date. - Quand une nouvelle version est enregistrée, Alors son horodatage, sa source et le traitement d'origine sont tracés. - Quand une opération de réécriture est demandée, Alors aucune donnée existante n'est écrasée sans création préalable d'une nouvelle version (aucune suppression destructive). ### EPIC 1bis — Catalogage des données</t>
  </si>
  <si>
    <t>US1bis.1-SC01</t>
  </si>
  <si>
    <t>Enregistrement d'un jeu dans le catalogue</t>
  </si>
  <si>
    <t>Étant donné un jeu de données intégré dans la plateforme, Quand l'administrateur l'enregistre dans le catalogue, Alors il reçoit un identifiant unique de catalogue, Et il devient visible et trouvable dans la liste du catalogue. - Quand un jeu de données est enregistré, Alors les champs obligatoires suivants sont renseignés et validés : nom, fournisseur, date de mise à jour, licence ; l'enregistrement est refusé tant qu'ils sont manquants.</t>
  </si>
  <si>
    <t>US1bis.1-SC02</t>
  </si>
  <si>
    <t>Refus d'un identifiant déjà utilisé</t>
  </si>
  <si>
    <t>Étant donné un identifiant de catalogue déjà utilisé, Quand l'administrateur tente d'enregistrer un autre jeu avec cet identifiant, Alors l'enregistrement est refusée et un message explicite s'affiche. - Quand un jeu de données enregistré est mis à jour (nouvel import), Alors la fiche du catalogue reste liée à la version courante du jeu.</t>
  </si>
  <si>
    <t>US1bis.1-SC03</t>
  </si>
  <si>
    <t>Refus d'un jeu non intégré</t>
  </si>
  <si>
    <t>Étant donné un jeu de données non encore intégré, Quand l'administrateur tente de l'enregistrer, Alors l'enregistrement est refusée : le catalogue ne référence que des données réellement disponibles dans la plateforme.</t>
  </si>
  <si>
    <t>US1bis.2-SC01</t>
  </si>
  <si>
    <t>Renseignement des métadonnées obligatoires</t>
  </si>
  <si>
    <t>Étant donné un jeu de données du catalogue, Quand l'administrateur renseigne ses métadonnées, Alors les métadonnées obligatoires sont enregistrées : nom, fournisseur, date de mise à jour, licence ; Et le système refuse l'enregistrement tant qu'elles sont manquantes. - Quand des métadonnées descriptives sont saisies (origine, couverture spatiale et temporelle, unités, fréquence de mise à jour, contact), Alors elles sont structurées selon un schéma commun et affichées sur la fiche du jeu de données.</t>
  </si>
  <si>
    <t>US1bis.2-SC02</t>
  </si>
  <si>
    <t>Documentation des métadonnées géographiques</t>
  </si>
  <si>
    <t>Étant donné un jeu de données géographique, Quand ses métadonnées sont saisies, Alors le système de coordonnées et la couverture spatiale (communes, BVAEP concernés) sont documentés. - Quand des métadonnées sont enregistrées, Alors la date et l'auteur de la saisie sont tracés.</t>
  </si>
  <si>
    <t>US1bis.2-SC03</t>
  </si>
  <si>
    <t>Refus d'une licence non autorisée</t>
  </si>
  <si>
    <t>Étant donné une licence non autorisée ou une date de mise à jour future, Quand l'enregistrement est tenté, Alors il est refusé avec un message d'erreur explicite.</t>
  </si>
  <si>
    <t>US1bis.4-SC01</t>
  </si>
  <si>
    <t>Consultation d'une fiche de jeu de données</t>
  </si>
  <si>
    <t>Étant donné un jeu de données du catalogue, Quand l'utilisateur ouvre sa fiche, Alors il voit son nom, son fournisseur, sa date de mise à jour, sa licence, sa couverture spatiale et temporelle, et son type (donnée source ou donnée dérivée). - Quand l'utilisateur consulte la fiche, Alors il voit la structure du jeu (champs, types, unités) et, si disponible, un aperçu du contenu.</t>
  </si>
  <si>
    <t>US1bis.4-SC02</t>
  </si>
  <si>
    <t>Fiche d'un jeu dérivé</t>
  </si>
  <si>
    <t>Étant donné un jeu de données dérivé, Quand sa fiche est consultée, Alors elle affiche les données sources et les traitements dont il provient.</t>
  </si>
  <si>
    <t>US1bis.4-SC03</t>
  </si>
  <si>
    <t>Affichage d'une licence non renseignée</t>
  </si>
  <si>
    <t>Étant donné un jeu de données sans licence renseignée, Quand sa fiche est consultée, Alors la mention « licence non renseignée » est affichée (aucune valeur par défaut trompeuse). - Quand la fiche est consultée depuis le catalogue, Alors l'utilisateur voit les métadonnées de qualité associées (EPIC 2) si elles existent.</t>
  </si>
  <si>
    <t>US1bis.7-SC01</t>
  </si>
  <si>
    <t>Visualisation du graphe de relations</t>
  </si>
  <si>
    <t>Étant donné un indicateur dérivé, Quand l'utilisateur ouvre sa page de relations, Alors il voit un graphe reliant l'indicateur à ses données sources et aux traitements intermédiaires. - Quand l'utilisateur clique sur un nœud du graphe (jeu de données source, traitement), Alors les métadonnées correspondantes sont affichées.</t>
  </si>
  <si>
    <t>US1bis.7-SC02</t>
  </si>
  <si>
    <t>Précision de la période de calcul</t>
  </si>
  <si>
    <t>Étant donné un indicateur calculé sur des données historisées, Quand le graphe est affiché, Alors la version ou la période des données utilisées pour le calcul courant est précisée.</t>
  </si>
  <si>
    <t>US1bis.7-SC03</t>
  </si>
  <si>
    <t>Absence de relations tracées</t>
  </si>
  <si>
    <t>Étant donné un indicateur sans dépendance déclarée, Quand la page est ouverte, Alors un message indique l'absence de relations tracées plutôt qu'un graphe vide. - Quand l'indicateur est recalculé sur de nouvelles données, Alors le graphe reflète les relations de la version de calcul la plus récente.</t>
  </si>
  <si>
    <t>US1bis.10-SC01</t>
  </si>
  <si>
    <t>Alimentation automatique du catalogue</t>
  </si>
  <si>
    <t>Étant donné un import de fichier réussi, Quand le traitement se termine, Alors une entrée de catalogue est créée ou mise à jour automatiquement, sans saisie manuelle.</t>
  </si>
  <si>
    <t>US1bis.10-SC02</t>
  </si>
  <si>
    <t>Mise à jour sans doublon</t>
  </si>
  <si>
    <t>Étant donné un jeu de données déjà catalogué, Quand un import le met à jour, Alors sa fiche de catalogue est actualisée (date de mise à jour, version courante) sans création de doublon.</t>
  </si>
  <si>
    <t>US1bis.10-SC03</t>
  </si>
  <si>
    <t>Aucune entrée en cas d'échec</t>
  </si>
  <si>
    <t>Étant donné un import en échec, Quand le traitement se termine, Alors aucune entrée de catalogue n'est créée, Et l'événement est tracé. - Quand une entrée est créée automatiquement, Alors les métadonnées minimales (nom, fournisseur, date de mise à jour) sont déduites de l'import et marquées « générées automatiquement ».</t>
  </si>
  <si>
    <t>US1bis.10-SC04</t>
  </si>
  <si>
    <t>Échec partiel sans identifiant</t>
  </si>
  <si>
    <t>Étant donné un import sans identifiant de jeu identifiable, Quand l'alimentation du catalogue est tentée, Alors l'import est signalé en échec partiel avec le motif.</t>
  </si>
  <si>
    <t>US1bis.12-SC01</t>
  </si>
  <si>
    <t>Enregistrement d'un indicateur dérivé</t>
  </si>
  <si>
    <t>Étant donné un indicateur défini dans le référentiel (US3.5), Quand il est enregistré dans le catalogue, Alors il apparaît avec le type « donnée dérivée », distinct des données sources. - Quand la fiche de l'indicateur est consultée, Alors elle indique qu'il s'agit d'une donnée dérivée et renvoie vers sa définition et sa méthode de calcul.</t>
  </si>
  <si>
    <t>US1bis.12-SC02</t>
  </si>
  <si>
    <t>Refus sans donnée source</t>
  </si>
  <si>
    <t>Étant donné un enregistrement sans lien vers une donnée source ou un traitement, Quand il est tenté, Alors il est refusé : tout indicateur dérivé référence au moins une donnée source ou un traitement.</t>
  </si>
  <si>
    <t>US1bis.12-SC03</t>
  </si>
  <si>
    <t>Refus d'un indicateur non référencé</t>
  </si>
  <si>
    <t>Étant donné un indicateur non défini dans le référentiel, Quand l'administrateur tente de l'enregistrer, Alors l'enregistrement est refusé avec un message renvoyant vers la définition de l'indicateur (US3.5). - Quand un indicateur dérivé est recalculé, Alors la version cataloguée est mise à jour, Et la traçabilité du calcul (date, version de la méthode, données utilisées) est conservée. ### EPIC 2 — Qualité des données</t>
  </si>
  <si>
    <t>US2.1-SC01</t>
  </si>
  <si>
    <t>Détection de valeurs aberrantes</t>
  </si>
  <si>
    <t>Étant donné un jeu de données avec des règles de contrôle définies (bornes min/max, plages attendues), Quand une valeur sort de la plage attendue, Alors l'anomalie est détectée et enregistrée avec le jeu de données, la ligne, la valeur et la règle violée. - Quand la détection est exécutée, Alors un rapport liste les valeurs aberrantes avec leur motif, sans modifier les données d'origine.</t>
  </si>
  <si>
    <t>US2.1-SC02</t>
  </si>
  <si>
    <t>Exclusion d'une valeur erronée</t>
  </si>
  <si>
    <t>Étant donné une valeur aberrante détectée et validée comme erronée par l'administrateur, Alors elle est exclue des traitements ou marquée non fiable, tout en restant disponible dans l'historique.</t>
  </si>
  <si>
    <t>US2.1-SC03</t>
  </si>
  <si>
    <t>Blanchiment d'un faux positif</t>
  </si>
  <si>
    <t>Étant donné une valeur signalée à tort (faux positif), Quand l'administrateur la blanchit, Alors le motif du blanchiment est documenté et tracé.</t>
  </si>
  <si>
    <t>US2.1-SC04</t>
  </si>
  <si>
    <t>Jeu non contrôlé</t>
  </si>
  <si>
    <t>Étant donné un jeu sans règles de détection configurées, Quand le contrôle est exécuté, Alors aucune valeur aberrante n'est signalée et le jeu est qualifié « non contrôlé ».</t>
  </si>
  <si>
    <t>US2.4-SC01</t>
  </si>
  <si>
    <t>Calcul du taux de complétude</t>
  </si>
  <si>
    <t>Étant donné un jeu de données avec des champs obligatoires définis, Quand le taux de complétude est calculé, Alors il correspond au pourcentage de valeurs renseignées sur les valeurs attendues, par champ et par jeu, Et le résultat est stocké comme métadonnée de qualité. - Quand un taux est calculé, Alors la période et la version du jeu de données utilisées pour le calcul sont précisées.</t>
  </si>
  <si>
    <t>US2.4-SC02</t>
  </si>
  <si>
    <t>Marquage sous le seuil de complétude</t>
  </si>
  <si>
    <t>Étant donné un seuil de complétude configuré (par défaut 95 %), Quand le taux calculé est inférieur au seuil, Alors le jeu est marqué comme sous le seuil, Et l'information est reportée sur sa fiche qualité. - Quand un jeu est mis à jour (nouvel import, corrections), Alors le taux est recalculé sur la dernière version, sans perte des taux historiques. - Quand le taux de complétude d'un jeu sert au calcul d'un indicateur (EPIC 4), Alors il est exploitable de façon automatisée (filtrage ou marquage du résultat).</t>
  </si>
  <si>
    <t>US2.5-SC01</t>
  </si>
  <si>
    <t>Attribution d'une classe de fiabilité</t>
  </si>
  <si>
    <t>Étant donné les critères de fiabilité définis (source, méthode de production, complétude, fréquence de mise à jour), Quand la fiabilité d'un jeu de données est évaluée, Alors une classe de fiabilité (élevée, moyenne, faible) lui est attribuée selon des règles documentées. - Quand une classe de fiabilité est attribuée, Alors la règle et les critères utilisés sont tracés.</t>
  </si>
  <si>
    <t>US2.5-SC02</t>
  </si>
  <si>
    <t>Réévaluation de la fiabilité</t>
  </si>
  <si>
    <t>Étant donné un jeu dont la qualité évolue (nouvel import, corrections), Quand la fiabilité est réévaluée, Alors la classe est recalculée, Et l'évolution est conservée dans l'historique des indicateurs de qualité.</t>
  </si>
  <si>
    <t>US2.5-SC03</t>
  </si>
  <si>
    <t>Fiabilité non évaluée</t>
  </si>
  <si>
    <t>Étant donné un jeu sans métadonnées de qualité renseignées, Quand l'évaluation est demandée, Alors aucune classe n'est attribuée : le jeu est qualifié « fiabilité non évaluée » (pas de note par défaut trompeuse). - Quand une classe de fiabilité est disponible, Alors elle est exploitable par les traitements ultérieurs (filtrage, affichage différencié).</t>
  </si>
  <si>
    <t>US2.6-SC01</t>
  </si>
  <si>
    <t>Association de métadonnées de qualité</t>
  </si>
  <si>
    <t>Étant donné un jeu de données contrôlé, Quand l'administrateur associe des métadonnées de qualité, Alors il renseigne : date du dernier contrôle, règles appliquées, résultats (anomalies, taux de complétude, fiabilité) et statut de validation. - Quand des métadonnées de qualité sont enregistrées, Alors elles sont visibles sur la fiche qualité du jeu de données.</t>
  </si>
  <si>
    <t>US2.6-SC02</t>
  </si>
  <si>
    <t>Alimentation automatique des métadonnées</t>
  </si>
  <si>
    <t>Étant donné un contrôle automatique, Quand il s'exécute, Alors ses résultats alimentent les métadonnées de qualité sans saisie manuelle, Et l'horodatage du contrôle est tracé.</t>
  </si>
  <si>
    <t>US2.6-SC03</t>
  </si>
  <si>
    <t>Refus d'ajout sur jeu non intégré</t>
  </si>
  <si>
    <t>Étant donné un jeu de données non intégré dans la plateforme, Quand l'administrateur tente d'ajouter des métadonnées de qualité, Alors l'opération est refusée avec un message explicite. - Quand l'administrateur consulte la fiche qualité, Alors il voit un résumé : date du dernier contrôle, classe de fiabilité, taux de complétude, nombre d'anomalies ouvertes. ### EPIC 3 — Référentiels</t>
  </si>
  <si>
    <t>US3.1-SC01</t>
  </si>
  <si>
    <t>Création d'un bassin versant</t>
  </si>
  <si>
    <t>Étant donné le référentiel des BVAEP, Quand l'administrateur crée un bassin versant d'alimentation en eau potable, Alors il renseigne au minimum : identifiant, nom, géométrie, communes et captages rattachés, Et le BVAEP devient utilisable dans les agrégations et sur la carte. - Quand l'administrateur modifie la géométrie ou le périmètre d'un BVAEP, Alors la modification est enregistrée avec sa date, Et les données historiques restent rattachées à l'ancien périmètre (cohérence temporelle).</t>
  </si>
  <si>
    <t>US3.1-SC02</t>
  </si>
  <si>
    <t>Refus d'un identifiant ou d'une géométrie invalide</t>
  </si>
  <si>
    <t>Étant donné un identifiant de BVAEP déjà utilisé ou une géométrie invalide, Quand la création ou la modification est tentée, Alors elle est refusée avec un message explicite. - Quand l'administrateur consulte la liste des BVAEP, Alors il voit l'identifiant, le nom, les communes et le nombre de captages rattachés.</t>
  </si>
  <si>
    <t>US3.1-SC03</t>
  </si>
  <si>
    <t>Refus de suppression d'un BVAEP rattaché</t>
  </si>
  <si>
    <t>Étant donné un BVAEP auquel des données ou des captages sont rattachés, Quand l'administrateur tente de le supprimer, Alors la suppression est refusée tant qu'aucun réaffectement explicite n'a été effectué.</t>
  </si>
  <si>
    <t>US3.2-SC01</t>
  </si>
  <si>
    <t>Création d'un captage</t>
  </si>
  <si>
    <t>Étant donné le référentiel des captages, Quand l'administrateur crée un captage, Alors il renseigne au minimum : identifiant, nom, commune, coordonnées et BVAEP de rattachement, Et le captage apparaît dans le référentiel et sur la carte. - Quand un captage est rattaché à un BVAEP, Alors la cohérence du rattachement est vérifiée (position dans le bassin ou rattachement explicite justifié), Et toute incohérence est signalée. - Quand l'administrateur modifie un captage (localisation, rattachement, statut), Alors la version précédente est conservée pour la reconstitution historique. - Quand la fiche du captage est consultée, Alors elle affiche ses données de qualité (EPIC 2) et les périmètres de protection (PPE) associés s'ils sont renseignés.</t>
  </si>
  <si>
    <t>US3.2-SC02</t>
  </si>
  <si>
    <t>Étant donné un identifiant de captage déjà utilisé, Quand la création est tentée, Alors elle est refusée avec un message explicite.</t>
  </si>
  <si>
    <t>US3.4-SC01</t>
  </si>
  <si>
    <t>Configuration des résolutions H3</t>
  </si>
  <si>
    <t>Étant donné le référentiel de la maille H3, Quand l'administrateur définit les résolutions utilisées par la plateforme, Alors la configuration est enregistrée et documentée, Et elle sert de référence aux agrégations. - Quand l'administrateur consulte la maille, Alors il voit la grille H3 superposée à la carte avec ses cellules identifiées.</t>
  </si>
  <si>
    <t>US3.4-SC02</t>
  </si>
  <si>
    <t>Calcul du rattachement à la maille H3</t>
  </si>
  <si>
    <t>Étant donné des objets du référentiel (captages, BVAEP, communes), Quand leur rattachement à la maille H3 est calculé, Alors chaque objet est associé aux cellules qu'il intersecte, Et le résultat est tracé pour garantir la cohérence des agrégations.</t>
  </si>
  <si>
    <t>US3.4-SC03</t>
  </si>
  <si>
    <t>Reproductibilité après changement de résolution</t>
  </si>
  <si>
    <t>Étant donné une modification de la résolution configurée, Quand elle est enregistrée, Alors les agrégations existantes restent reproductibles et les données historiques ne sont pas altérées.</t>
  </si>
  <si>
    <t>US3.4-SC04</t>
  </si>
  <si>
    <t>Refus d'une résolution non supportée</t>
  </si>
  <si>
    <t>Étant donné une résolution non supportée, Quand l'administrateur tente de la configurer, Alors l'opération est refusée avec la liste des résolutions disponibles.</t>
  </si>
  <si>
    <t>US3.5-SC01</t>
  </si>
  <si>
    <t>Définition d'un indicateur</t>
  </si>
  <si>
    <t>Étant donné le référentiel des indicateurs, Quand l'administrateur définit un indicateur, Alors il renseigne au minimum : nom, description, finalité, unité, échelle spatiale (captage, BVAEP, maille H3) et temporelle, méthode de calcul et liens vers les données sources ; l'enregistrement est refusé tant que ces éléments sont manquants. - Quand l'indicateur est enregistré, Alors il devient calculable par le moteur (EPIC 4), affichable dans le catalogue et exploitable par la carte. - Quand l'administrateur modifie la méthode de calcul d'un indicateur, Alors une nouvelle version de la définition est créée, Et les versions antérieures restent consultables.</t>
  </si>
  <si>
    <t>US3.5-SC02</t>
  </si>
  <si>
    <t>Enregistrement des seuils</t>
  </si>
  <si>
    <t>Étant donné un indicateur avec des seuils, Quand ils sont définis, Alors ils sont enregistrés avec l'indicateur et disponibles pour la qualification des valeurs.</t>
  </si>
  <si>
    <t>US3.5-SC03</t>
  </si>
  <si>
    <t>Refus d'un indicateur en double</t>
  </si>
  <si>
    <t>Étant donné un indicateur déjà défini sous le même nom ou le même identifiant, Quand la définition est tentée, Alors elle est refusée avec un message explicite. ### EPIC 4 — Calcul d'indicateurs</t>
  </si>
  <si>
    <t>US4.1-SC01</t>
  </si>
  <si>
    <t>Calcul d'indicateurs simples</t>
  </si>
  <si>
    <t>Étant donné un indicateur défini (US3.5) et ses données sources cataloguées et qualifiées, Quand le calcul est exécuté, Alors les valeurs produites respectent la méthode définie (moyenne, médiane, somme, fréquence, occurrence), Et le résultat est stocké avec la date de calcul, la version de la définition et les versions des données utilisées.</t>
  </si>
  <si>
    <t>US4.1-SC02</t>
  </si>
  <si>
    <t>Marquage « non fiable » sur données manquantes</t>
  </si>
  <si>
    <t>Étant donné un calcul reposant sur des données manquantes ou sous le seuil de complétude, Quand le résultat est produit, Alors il est marqué « non fiable » ou non calculé selon les règles de l'indicateur.</t>
  </si>
  <si>
    <t>US4.1-SC03</t>
  </si>
  <si>
    <t>Traçage d'un échec de calcul</t>
  </si>
  <si>
    <t>Étant donné un calcul en échec, Quand il se termine, Alors aucune valeur n'est publiée, Et l'échec est tracé avec son motif. - Quand le calcul est relancé après correction des données, Alors le résultat est recalculé et la nouvelle exécution est tracée (reproductibilité).</t>
  </si>
  <si>
    <t>US4.1-SC04</t>
  </si>
  <si>
    <t>Refus sans méthode complète</t>
  </si>
  <si>
    <t>Étant donné un indicateur sans méthode complète ou sans données sources, Quand le calcul est demandé, Alors il est refusé avec un message explicite.</t>
  </si>
  <si>
    <t>US4.2-SC01</t>
  </si>
  <si>
    <t>Agrégation à l'échelle bassin versant</t>
  </si>
  <si>
    <t>Étant donné des valeurs à l'échelle captage ou maille H3, Quand l'agrégation à l'échelle du BVAEP est exécutée, Alors une valeur synthétique est produite pour chaque bassin versant selon la règle d'agrégation définie (somme, moyenne, moyenne pondérée), Et la règle utilisée est tracée. - Quand le résultat d'agrégation est produit, Alors il est accompagné de la liste des captages pris en compte et du taux de complétude associé.</t>
  </si>
  <si>
    <t>US4.2-SC02</t>
  </si>
  <si>
    <t>Exclusion d'un captage non rattaché</t>
  </si>
  <si>
    <t>Étant donné un captage non rattaché à un BVAEP, Quand l'agrégation est exécutée, Alors il est exclu du calcul et signalé dans les anomalies.</t>
  </si>
  <si>
    <t>US4.2-SC03</t>
  </si>
  <si>
    <t>Cohérence historique du périmètre</t>
  </si>
  <si>
    <t>Étant donné une évolution du périmètre d'un BVAEP, Quand l'agrégation est exécutée sur une période passée, Alors elle utilise la version du périmètre applicable à cette période (cohérence historique).</t>
  </si>
  <si>
    <t>US4.2-SC04</t>
  </si>
  <si>
    <t>Refus sans règle d'agrégation</t>
  </si>
  <si>
    <t>Étant donné un indicateur sans règle d'agrégation spatiale définie, Quand l'agrégation à l'échelle BV est demandée, Alors elle est refusée avec un message explicite.</t>
  </si>
  <si>
    <t>US4.3-SC01</t>
  </si>
  <si>
    <t>Étant donné des données historisées (US1.6), Quand l'agrégation temporelle (mensuelle, annuelle, pluriannuelle) est exécutée, Alors les séries consolidées sont produites sur les périodes demandées, Et les données sous-jacentes restent disponibles.</t>
  </si>
  <si>
    <t>US4.3-SC02</t>
  </si>
  <si>
    <t>Taux de couverture et reproductibilité</t>
  </si>
  <si>
    <t>Étant donné une période contenant des données manquantes, Quand le résultat est produit, Alors le taux de couverture de la période est indiqué, Et le résultat est marqué si le seuil de complétude n'est pas atteint. - Quand la même agrégation est relancée sur la même période et les mêmes données, Alors le résultat est identique (reproductibilité des calculs).</t>
  </si>
  <si>
    <t>US4.3-SC03</t>
  </si>
  <si>
    <t>Limitation à l'historique disponible</t>
  </si>
  <si>
    <t>Étant donné une période demandée dépassant l'historique disponible, Quand l'agrégation est exécutée, Alors elle est limitée à l'historique existant et l'écart est signalé, ou refusée si aucune donnée ne couvre la période. - Quand un indicateur est produit à plusieurs granularités temporelles, Alors le périmètre de calcul (données incluses, période couverte) est documenté pour garantir la comparabilité des séries.</t>
  </si>
  <si>
    <t>US4.5-SC01</t>
  </si>
  <si>
    <t>Filtrage des données pour le calcul</t>
  </si>
  <si>
    <t>Étant donné l'interface de calcul d'un indicateur, Quand l'administrateur applique des filtres (période, source, qualité, territoire : captage, BVAEP, commune), Alors seules les valeurs répondant aux filtres sont utilisées dans le calcul, Et les filtres appliqués sont affichés à l'écran. - Quand l'administrateur exclut les données de qualité insuffisante (fiabilité faible, anomalies, sous le seuil de complétude), Alors elles sont exclues du calcul, Et l'option d'exclusion est visible dans l'interface. - Quand les filtres sont modifiés, Alors le calcul est relancé sur le nouveau périmètre, Et aucun résultat obsolète n'est affiché sans mention.</t>
  </si>
  <si>
    <t>US4.5-SC02</t>
  </si>
  <si>
    <t>Refus sans données répondant aux filtres</t>
  </si>
  <si>
    <t>Étant donné une combinaison de filtres ne sélectionnant aucune donnée, Quand le calcul est demandé, Alors il est refusé avec le message « aucun jeu de données ne correspond aux filtres appliqués ». - Quand l'administrateur consulte la configuration du calcul, Alors il voit un résumé des critères retenus (période, sources, territoires, seuil de qualité) avant exécution.</t>
  </si>
  <si>
    <t>US6.1-SC01</t>
  </si>
  <si>
    <t>Affichage de la carte interactive</t>
  </si>
  <si>
    <t>Étant donné la plateforme opérationnelle avec des données BVAEP et captages chargées, quand je consulte la vue « Carte », alors une carte interactive s'affiche (fond Cartographique par défaut) avec les objets du périmètre positionnés.</t>
  </si>
  <si>
    <t>US6.1-SC02</t>
  </si>
  <si>
    <t>Navigation par pan et zoom</t>
  </si>
  <si>
    <t>Étant donné une carte affichée, quand je me déplace (pan) ou je zoome, alors l'emprise se met à jour et les objets pertinents apparaissent, sans rechargement de la page.</t>
  </si>
  <si>
    <t>US6.1-SC03</t>
  </si>
  <si>
    <t>Infobulle au survol d'un objet</t>
  </si>
  <si>
    <t>Étant donné un objet visible (BVAEP, captage, PPE), quand je le survole, alors une infobulle présente son nom et son identifiant.</t>
  </si>
  <si>
    <t>US6.1-SC04</t>
  </si>
  <si>
    <t>Affichage d'une zone sans donnée</t>
  </si>
  <si>
    <t>Étant donné une zone sans donnée dans l'emprise, quand la carte est rendue, alors le périmètre reste lisible avec un libellé explicite (pas de fond vide ambigu).</t>
  </si>
  <si>
    <t>US6.2-SC01</t>
  </si>
  <si>
    <t>Colorisation carto selon l'indicateur</t>
  </si>
  <si>
    <t>Étant donné un indicateur sélectionné dans le volet indicateurs, quand je l'applique à la carte, alors les unités sont colorées selon les classes de valeurs de l'indicateur, avec une légende affichant la plage et les couleurs.</t>
  </si>
  <si>
    <t>US6.2-SC02</t>
  </si>
  <si>
    <t>Classe « sans donnée »</t>
  </si>
  <si>
    <t>Étant donné une unité sans valeur pour l'indicateur, quand la carte est rendue, alors cette unité est affectée à une classe « sans donnée » distincte, hors plage de valeurs.</t>
  </si>
  <si>
    <t>US6.2-SC03</t>
  </si>
  <si>
    <t>Rafraîchissement du rendu cartographique</t>
  </si>
  <si>
    <t>Étant donné un indicateur calculé ou recalculé, quand je rafraîchis le rendu cartographique, alors les couleurs correspondent aux nouvelles valeurs sans référence obsolète.</t>
  </si>
  <si>
    <t>US6.2-SC04</t>
  </si>
  <si>
    <t>Bascule immédiate de l'indicateur</t>
  </si>
  <si>
    <t>Étant donné un changement d'indicateur (via Famille → Thème → Groupe), quand je bascule, alors la légende et les couleurs correspondent immédiatement au nouvel indicateur en conservant la sélection courante.</t>
  </si>
  <si>
    <t>US6.3-SC01</t>
  </si>
  <si>
    <t>Synchronisation du zoom et des unités</t>
  </si>
  <si>
    <t>Étant donné la carte, quand j'utilise les contrôles de zoom et le pan, alors l'emprise évolue et les unités affichées sont recalculées de façon synchrone.</t>
  </si>
  <si>
    <t>US6.3-SC02</t>
  </si>
  <si>
    <t>Préservation des filtres à la navigation</t>
  </si>
  <si>
    <t>Étant donné une sélection ou des filtres actifs, quand je navigue sur la carte, alors la sélection et les filtres ne sont ni réinitialisés ni altérés.</t>
  </si>
  <si>
    <t>US6.3-SC03</t>
  </si>
  <si>
    <t>Réinitialisation de la vue</t>
  </si>
  <si>
    <t>Étant donné une navigation avancée, quand j'actionne la réinitialisation de la vue, alors l'emprise revient au périmètre par défaut en conservant les filtres utilisateur.</t>
  </si>
  <si>
    <t>US6.3-SC04</t>
  </si>
  <si>
    <t>Regroupement des unités</t>
  </si>
  <si>
    <t>Étant donné un changement d'échelle, quand les unités deviennent trop nombreuses à l'écran, alors la carte propose un regroupement lisible (agrégation visuelle) sans perte de données.</t>
  </si>
  <si>
    <t>US6.4-SC01</t>
  </si>
  <si>
    <t>Tracé de la série chronologique</t>
  </si>
  <si>
    <t>Étant donné un indicateur à données historisées, quand je consulte son graphique temporel, alors une série chronologique est tracée avec unité, dates et période affichées.</t>
  </si>
  <si>
    <t>US6.4-SC02</t>
  </si>
  <si>
    <t>Séries distinctes par palette</t>
  </si>
  <si>
    <t>Étant donné plusieurs unités sélectionnées (captages et/ou BVAEP), quand le graphique temporel est affiché, alors chaque série est identifiée et distinguée par une palette de couleurs cohérente avec la carte.</t>
  </si>
  <si>
    <t>US6.4-SC03</t>
  </si>
  <si>
    <t>Affichage d'une lacune de mesure</t>
  </si>
  <si>
    <t>Étant donné une période sans mesure, quand elle appartient à la série, alors elle apparaît comme une lacune explicite (valeur indisponible), jamais remplacée par un zéro.</t>
  </si>
  <si>
    <t>US6.4-SC04</t>
  </si>
  <si>
    <t>Infobulle sur un point de la série</t>
  </si>
  <si>
    <t>Étant donné un point de la série, quand je le survole, alors une infobulle affiche la date et la valeur de l'indicateur.</t>
  </si>
  <si>
    <t>US6.7-SC01</t>
  </si>
  <si>
    <t>Consultation d'une fiche territoire</t>
  </si>
  <si>
    <t>Étant donné une fiche territoire (commune, BVAEP ou bassin versant), quand je la consulte, alors elle présente le périmètre décrit, les unités de gestion associées et les indicateurs disponibles.</t>
  </si>
  <si>
    <t>US6.7-SC02</t>
  </si>
  <si>
    <t>Contenu strictement issu des données</t>
  </si>
  <si>
    <t>Étant donné une fiche territoire générée, quand elle est affichée, alors son contenu est strictement issu des données et indicateurs produits, sans ajout interprétatif ni classement/priorisation.</t>
  </si>
  <si>
    <t>US6.7-SC03</t>
  </si>
  <si>
    <t>Ouverture de la fiche depuis la carte</t>
  </si>
  <si>
    <t>Étant donné une unité cartographique, quand je l'active (clic ou sélection), alors je peux ouvrir sa fiche territoire depuis la carte.</t>
  </si>
  <si>
    <t>US6.7-SC04</t>
  </si>
  <si>
    <t>Reflet de la dernière version</t>
  </si>
  <si>
    <t>Étant donné une donnée source mise à jour, quand la fiche est consultée, alors elle reflète la dernière version sans action manuelle.</t>
  </si>
  <si>
    <t>US6.8-SC01</t>
  </si>
  <si>
    <t>Bascule d'échelle captages/bassins versants</t>
  </si>
  <si>
    <t>Étant donné une échelle active (captages ou BVAEP), quand je bascule l'échelle, alors la carte affiche immédiatement les unités de la nouvelle échelle sur la même emprise.</t>
  </si>
  <si>
    <t>US6.8-SC02</t>
  </si>
  <si>
    <t>Mémorisation indépendante des sélections</t>
  </si>
  <si>
    <t>Étant donné des sélections distinctes Captages et Bassins versants, quand j'alterne les échelles, alors chaque sélection est rappelée indépendamment (les types d'unités ne sont pas mélangés).</t>
  </si>
  <si>
    <t>US6.8-SC03</t>
  </si>
  <si>
    <t>Agrégation selon l'échelle active</t>
  </si>
  <si>
    <t>Étant donné un indicateur applicable aux deux échelles, quand je bascule, alors la valeur affichée correspond à l'agrégation de l'échelle active (globale pour un BVAEP, ponctuelle pour un captage).</t>
  </si>
  <si>
    <t>US6.8-SC04</t>
  </si>
  <si>
    <t>Mise à jour du compteur à la bascule</t>
  </si>
  <si>
    <t>Étant donné le compteur d'unités, quand je bascule d'échelle, alors il reflète immédiatement le nombre d'unités sélectionnées à la nouvelle échelle.</t>
  </si>
  <si>
    <t>US6.9-SC01</t>
  </si>
  <si>
    <t>Affichage du compteur d'unités sélectionnées</t>
  </si>
  <si>
    <t>Étant donné une sélection en cours, quand la vue est chargée, alors un compteur affiche le nombre d'unités sélectionnées, au format « X captages · Y bassins versants ».</t>
  </si>
  <si>
    <t>US6.9-SC02</t>
  </si>
  <si>
    <t>Mise à jour temps réel du compteur</t>
  </si>
  <si>
    <t>Étant donné une action d'ajout ou de retrait de sélection, quand elle est validée, alors le compteur se met à jour en temps réel.</t>
  </si>
  <si>
    <t>US6.9-SC03</t>
  </si>
  <si>
    <t>Compteur à zéro pour une sélection vide</t>
  </si>
  <si>
    <t>Étant donné une sélection vide, quand la vue est affichée, alors le compteur est à 0 avec un message invitant à sélectionner (aucune ambiguïté entre « rien » et « tout »).</t>
  </si>
  <si>
    <t>US6.9-SC04</t>
  </si>
  <si>
    <t>Cohérence carte/listes/compteur</t>
  </si>
  <si>
    <t>Étant donné la carte, les listes et le compteur, quand une sélection est modifiée, alors ils restent cohérents entre eux.</t>
  </si>
  <si>
    <t>US6.10-SC01</t>
  </si>
  <si>
    <t>Suggestions de recherche</t>
  </si>
  <si>
    <t>Étant donné la zone de recherche, quand je saisis au moins deux caractères, alors des suggestions s'affichent pour : communes, provinces, captages, BVAEP et presets « Top 10 ».</t>
  </si>
  <si>
    <t>US6.10-SC02</t>
  </si>
  <si>
    <t>Recherche insensible à la casse et aux accents</t>
  </si>
  <si>
    <t>Étant donné un nom saisi, quand la recherche ignore la casse et les accents, alors les résultats attendus sont retrouvés.</t>
  </si>
  <si>
    <t>US6.10-SC03</t>
  </si>
  <si>
    <t>Centrage sur l'entité choisie</t>
  </si>
  <si>
    <t>Étant donné le choix d'une suggestion commune ou province, quand je valide, alors la carte se centre sur l'entité et la sélection est restreinte à son périmètre (filtre géographique).</t>
  </si>
  <si>
    <t>US6.10-SC04</t>
  </si>
  <si>
    <t>Message « Aucun résultat »</t>
  </si>
  <si>
    <t>Étant donné une recherche sans résultat, quand elle est exécutée, alors un message « Aucun résultat » est affiché, sans rechargement ni erreur.</t>
  </si>
  <si>
    <t>US6.11-SC01</t>
  </si>
  <si>
    <t>Cumul de facettes de recherche</t>
  </si>
  <si>
    <t>Étant donné plusieurs facettes (commune, province, type d'unité, indicateur), quand je les cumule, alors la sélection résultante est la combinaison des critères définie (intersection des filtres).</t>
  </si>
  <si>
    <t>US6.11-SC02</t>
  </si>
  <si>
    <t>Étant donné un filtre et une sélection manuelle combinés, quand la vue est rendue, alors la carte, les listes et le compteur reflètent exactement la même combinaison.</t>
  </si>
  <si>
    <t>US6.11-SC03</t>
  </si>
  <si>
    <t>État « filtre incompatible »</t>
  </si>
  <si>
    <t>Étant donné des facettes cumulées méthodologiquement incompatibles, quand je tente de les cumuler, alors le système présente un état « filtre incompatible » explicite, sans ambiguïté.</t>
  </si>
  <si>
    <t>US6.11-SC04</t>
  </si>
  <si>
    <t>Restauration de l'état des facettes</t>
  </si>
  <si>
    <t>Étant donné l'état courant des facettes, quand je quitte puis reviens sur la vue, alors l'état est restauré ou clairement signalé comme non conservé.</t>
  </si>
  <si>
    <t>US6.12-SC01</t>
  </si>
  <si>
    <t>Affichage des filtres en puces</t>
  </si>
  <si>
    <t>Étant donné au moins un filtre actif, quand la vue s'affiche, alors une puce (chip) portant le libellé du filtre est visible.</t>
  </si>
  <si>
    <t>US6.12-SC02</t>
  </si>
  <si>
    <t>Une puce par filtre</t>
  </si>
  <si>
    <t>Étant donné plusieurs filtres cumulés, quand ils sont tous appliqués, alors une puce par filtre est affichée, sans doublon ni filtre invisible.</t>
  </si>
  <si>
    <t>US6.12-SC03</t>
  </si>
  <si>
    <t>Retrait d'un filtre via sa puce</t>
  </si>
  <si>
    <t>Étant donné une puce active, quand je clique sur sa croix de désélection, alors le filtre est retiré et toutes les vues (carte, liste, graphiques) se mettent à jour.</t>
  </si>
  <si>
    <t>US6.12-SC04</t>
  </si>
  <si>
    <t>Restitution progressive de la sélection</t>
  </si>
  <si>
    <t>Étant donné l'ensemble des puces, quand je les retire une à une, alors la sélection initiale est progressivement restituée jusqu'au retour à l'état de départ.</t>
  </si>
  <si>
    <t>US6.13-SC01</t>
  </si>
  <si>
    <t>Application d'un preset « Top 10 »</t>
  </si>
  <si>
    <t>Étant donné la zone des presets, quand je choisis « Top 10 les plus exposés » (et les variantes : moins exposés), alors la sélection et la liste affichent les dix unités calculées selon la règle du preset.</t>
  </si>
  <si>
    <t>US6.13-SC02</t>
  </si>
  <si>
    <t>Identification des unités dans les vues</t>
  </si>
  <si>
    <t>Étant donné un preset appliqué, quand la carte et les listes sont rendues, alors les dix unités sont identifiées dans les vues et cohérentes entre elles.</t>
  </si>
  <si>
    <t>US6.13-SC03</t>
  </si>
  <si>
    <t>Application explicite d'un preset</t>
  </si>
  <si>
    <t>Étant donné une sélection utilisateur préalable, quand j'applique un preset, alors l'application du preset est explicite (remplacement ou superposition selon la règle définie), jamais silencieuse.</t>
  </si>
  <si>
    <t>US6.13-SC04</t>
  </si>
  <si>
    <t>Restitution de la sélection antérieure</t>
  </si>
  <si>
    <t>Étant donné un preset actif, quand je le retire, alors la sélection antérieure est restituée telle qu'elle était avant l'application.</t>
  </si>
  <si>
    <t>US6.13-SC05</t>
  </si>
  <si>
    <t>Unités non retenues consultables</t>
  </si>
  <si>
    <t>Étant donné une unité non classable par la règle du preset, quand elle n'est pas retenue, alors elle n'est pas exclue silencieusement et reste consultable.</t>
  </si>
  <si>
    <t>US6.14-SC01</t>
  </si>
  <si>
    <t>Retrait d'un filtre par décochage</t>
  </si>
  <si>
    <t>Étant donné une facette cochée dans le sélecteur, quand je la décoche, alors le filtre ou la sélection correspondant(e) est retiré(e) et toutes les vues se mettent à jour.</t>
  </si>
  <si>
    <t>US6.14-SC02</t>
  </si>
  <si>
    <t>Comportement idempotent du décochage</t>
  </si>
  <si>
    <t>Étant donné une facette décochée, quand je la décoche à nouveau, alors rien ne change (comportement idempotent, sans erreur).</t>
  </si>
  <si>
    <t>US6.14-SC03</t>
  </si>
  <si>
    <t>Ré-application sans dérive</t>
  </si>
  <si>
    <t>Étant donné un filtre retiré par décochage, quand je le ré-applique, alors le résultat correspond au résultat initial (pas de dérive de l'état).</t>
  </si>
  <si>
    <t>US6.15-SC01</t>
  </si>
  <si>
    <t>Sélection/désélection par clic</t>
  </si>
  <si>
    <t>Étant donné une liste de captages ou de BVAEP, quand je clique une unité, alors elle est sélectionnée ; au second clic, elle est désélectionnée.</t>
  </si>
  <si>
    <t>US6.15-SC02</t>
  </si>
  <si>
    <t>Retrait individuel d'une unité</t>
  </si>
  <si>
    <t>Étant donné une unité sélectionnée, quand je la retire via sa puce ou son bouton dédié, alors elle est retirée de la sélection et les autres unités restent intactes.</t>
  </si>
  <si>
    <t>US6.15-SC03</t>
  </si>
  <si>
    <t>Ajout d'une unité individuelle</t>
  </si>
  <si>
    <t>Étant donné une sélection en cours, quand j'ajoute une unité individuelle, alors le compteur et la carte intègrent l'unité sans réinitialiser le reste.</t>
  </si>
  <si>
    <t>US6.15-SC04</t>
  </si>
  <si>
    <t>Mise à jour des graphiques</t>
  </si>
  <si>
    <t>Étant donné une unité retirée, quand un graphique est affiché, alors l'unité n'apparaît plus dans les séries renvoyées.</t>
  </si>
  <si>
    <t>US6.16-SC01</t>
  </si>
  <si>
    <t>Sélections captages/BVAEP indépendantes</t>
  </si>
  <si>
    <t>Étant donné des sélections distinctes de captages et de BVAEP, quand je passe d'une échelle à l'autre, alors chaque sélection est mémorisée séparément (jamais substituée par l'autre type d'unité).</t>
  </si>
  <si>
    <t>US6.16-SC02</t>
  </si>
  <si>
    <t>Coexistence des deux sélections</t>
  </si>
  <si>
    <t>Étant donné une sélection de captages, quand j'ajoute une sélection de BVAEP, alors les deux coexistent et restent affichées distinctement dans les composants dédiés.</t>
  </si>
  <si>
    <t>US6.16-SC03</t>
  </si>
  <si>
    <t>Restitution de la sélection d'origine</t>
  </si>
  <si>
    <t>Étant donné la bascule d'échelle, quand je reviens aux captages, alors la sélection de captages d'origine est restituée à l'identique.</t>
  </si>
  <si>
    <t>US6.17-SC01</t>
  </si>
  <si>
    <t>Tri alphabétique</t>
  </si>
  <si>
    <t>Étant donné une liste d'unités, quand je choisis « Tri par nom », alors la liste est triée par ordre alphabétique (avec sens ascendant/descendant), sans modifier la sélection.</t>
  </si>
  <si>
    <t>US6.17-SC02</t>
  </si>
  <si>
    <t>Tri par distance</t>
  </si>
  <si>
    <t>Étant donné une liste, quand je choisis « Tri par distance », alors la liste ordonne les unités des plus proches aux plus éloignées par rapport à la référence définie (position de recherche ou point central courant).</t>
  </si>
  <si>
    <t>US6.17-SC03</t>
  </si>
  <si>
    <t>Changement immédiat de mode de tri</t>
  </si>
  <si>
    <t>Étant donné un tri en cours, quand je change de mode, alors l'autre mode s'applique immédiatement.</t>
  </si>
  <si>
    <t>US6.17-SC04</t>
  </si>
  <si>
    <t>Recalcul de l'ordre en conservant le mode</t>
  </si>
  <si>
    <t>Étant donné un tri appliqué, quand j'ajoute ou je retire des unités, alors l'ordre est recalculé en conservant le mode choisi.</t>
  </si>
  <si>
    <t>US6.18-SC01</t>
  </si>
  <si>
    <t>Calcul des communes intersectant un BV (≥20 %)</t>
  </si>
  <si>
    <t>Étant donné un bassin versant et le référentiel communal, quand le calcul d'intersection est exécuté, alors sont identifiées les communes dont la surface intersectée avec le bassin versant atteint au moins 20 % de la surface du bassin.</t>
  </si>
  <si>
    <t>US6.18-SC02</t>
  </si>
  <si>
    <t>Exclusion sous le seuil de 20 %</t>
  </si>
  <si>
    <t>Étant donné une commune dont le taux d'intersection est inférieur au seuil de 20 %, quand le calcul est exécuté, alors elle n'est pas retenue pour la facette « Commune ».</t>
  </si>
  <si>
    <t>US6.18-SC03</t>
  </si>
  <si>
    <t>Recalcul après mise à jour du référentiel</t>
  </si>
  <si>
    <t>Étant donné un bassin versant mis à jour (US3.1), quand le calcul est relancé, alors la liste des communes de la facette reflète les relations à jour du référentiel.</t>
  </si>
  <si>
    <t>US6.18-SC04</t>
  </si>
  <si>
    <t>Alimentation de la facette Commune</t>
  </si>
  <si>
    <t>Étant donné la facette « Commune » de la recherche (US6.10), quand elle est alimentée par ce calcul, alors elle ne présente que les communes validées par la règle (≥ 20 %), cohérentes avec la sélection courante des bassins versants.</t>
  </si>
  <si>
    <t>US6.18-SC05</t>
  </si>
  <si>
    <t>Recalcul rejouable des paramètres</t>
  </si>
  <si>
    <t>Étant donné un calcul exécuté, quand le seuil ou le référentiel ont été modifiés, alors le recalcul est rejouable et trace les paramètres utilisés (seuil, version du référentiel), sans saisie manuelle.</t>
  </si>
  <si>
    <t>US6.19-SC01</t>
  </si>
  <si>
    <t>Mise en évidence du croisement captages/BV</t>
  </si>
  <si>
    <t>Étant donné des captages appartenant à des BVAEP, quand je demande la mise en évidence du croisement, alors les liens captage → bassin versant sont explicites et lisibles sur la carte.</t>
  </si>
  <si>
    <t>US6.19-SC02</t>
  </si>
  <si>
    <t>Mise en avant au survol</t>
  </si>
  <si>
    <t>Étant donné la mise en évidence active, quand je survole un captage, alors le ou les bassins versants associés se mettent en avant (et inversement).</t>
  </si>
  <si>
    <t>US6.19-SC03</t>
  </si>
  <si>
    <t>Signalement d'un captage hors bassin</t>
  </si>
  <si>
    <t>Étant donné le croisement affiché, quand un captage est hors bassin, alors il est distinguable et signalé comme « hors bassin » (pas de lien forcé).</t>
  </si>
  <si>
    <t>US6.19-SC04</t>
  </si>
  <si>
    <t>Croisement à jour du référentiel</t>
  </si>
  <si>
    <t>Étant donné un référentiel mis à jour (US3.1 / US3.2), quand la carte est rafraîchie, alors le croisement restitué utilise les relations à jour.</t>
  </si>
  <si>
    <t>US6.20-SC01</t>
  </si>
  <si>
    <t>Sélecteur de fond de carte</t>
  </si>
  <si>
    <t>Étant donné la carte, quand j'ouvre le sélecteur de fond posé sur la carte, alors les trois choix « Cartographie », « Satellite », « Terrain » sont proposés.</t>
  </si>
  <si>
    <t>US6.20-SC02</t>
  </si>
  <si>
    <t>Bascule immédiate du fond</t>
  </si>
  <si>
    <t>Étant donné le choix d'un fond, quand je le valide, alors la carte bascule immédiatement sur ce fond en conservant couches, indicateur et emprise courants.</t>
  </si>
  <si>
    <t>US6.20-SC03</t>
  </si>
  <si>
    <t>Fond de substitution</t>
  </si>
  <si>
    <t>Étant donné un fond sans couverture (ex. satellite hors zone), quand il est sélectionné, alors un fond de substitution est affiché sans erreur visible.</t>
  </si>
  <si>
    <t>US6.20-SC04</t>
  </si>
  <si>
    <t>Mémorisation de la préférence</t>
  </si>
  <si>
    <t>Étant donné le choix du fond, quand ma préférence est mémorisée, alors elle est ré-appliquée lors des prochaines sessions.</t>
  </si>
  <si>
    <t>US6.21-SC01</t>
  </si>
  <si>
    <t>Liste des couches et visibilité</t>
  </si>
  <si>
    <t>Étant donné le volet gauche avec la section « Couches », quand la vue est ouverte, alors chaque couche est listée (BVAEP, captages, PPE – périmètres de protection, zones à risque) avec son état de visibilité.</t>
  </si>
  <si>
    <t>US6.21-SC02</t>
  </si>
  <si>
    <t>Basculement d'une couche</t>
  </si>
  <si>
    <t>Étant donné un basculement de couche, quand je l'affiche, alors elle apparaît immédiatement ; quand je la masque, elle disparaît sans impact sur les autres couches.</t>
  </si>
  <si>
    <t>US6.21-SC03</t>
  </si>
  <si>
    <t>Invitation à réactiver la couche</t>
  </si>
  <si>
    <t>Étant donné un indicateur porté par la couche BVAEP, quand la couche est masquée, alors le rendu de l'indicateur est mis en évidence (message proposant sa réactivation) au lieu d'un affichage silencieusement vide.</t>
  </si>
  <si>
    <t>US6.21-SC04</t>
  </si>
  <si>
    <t>Ordre de rendu stable</t>
  </si>
  <si>
    <t>Étant donné plusieurs couches actives, quand elles se superposent, alors l'ordre de rendu est stable et la lisibilité est conservée.</t>
  </si>
  <si>
    <t>US6.22-SC01</t>
  </si>
  <si>
    <t>Dropdown hiérarchisé Famille→Thème→Groupe</t>
  </si>
  <si>
    <t>Étant donné le menu déroulant des indicateurs, quand je le déploie, alors la liste est hiérarchisée Famille → Thème → Groupe.</t>
  </si>
  <si>
    <t>US6.22-SC02</t>
  </si>
  <si>
    <t>Restriction aux choix descendants</t>
  </si>
  <si>
    <t>Étant donné la hiérarchie, quand je navigue niveau par niveau, alors la recherche restreint la liste aux choix descendants du niveau actif.</t>
  </si>
  <si>
    <t>US6.22-SC03</t>
  </si>
  <si>
    <t>Filtrage par libellé</t>
  </si>
  <si>
    <t>Étant donné un texte saisi, quand il correspond à des indicateurs, alors la liste filtrée les présente avec leur libellé, sans ambiguïté.</t>
  </si>
  <si>
    <t>US6.22-SC04</t>
  </si>
  <si>
    <t>Mise à jour du catalogue et de la carte</t>
  </si>
  <si>
    <t>Étant donné l'indicateur choisi, quand je le valide, alors le catalogue indicateurs et la carte se mettent à jour.</t>
  </si>
  <si>
    <t>US6.23-SC01</t>
  </si>
  <si>
    <t>Ouverture de la fiche métadonnées</t>
  </si>
  <si>
    <t>Étant donné la vignette d'un indicateur, quand je la sélectionne pour les métadonnées, alors la fiche métadonnées s'ouvre.</t>
  </si>
  <si>
    <t>US6.23-SC02</t>
  </si>
  <si>
    <t>Contenu de la fiche métadonnées</t>
  </si>
  <si>
    <t>Étant donné la fiche métadonnées affichée, alors elle contient la définition, l'unité, la période, les sources et le lignage des données mobilisées (catalogue).</t>
  </si>
  <si>
    <t>US6.23-SC03</t>
  </si>
  <si>
    <t>Accès limité à la vignette</t>
  </si>
  <si>
    <t>Étant donné la règle d'accès, quand je tente d'ouvrir les métadonnées depuis un graphique, alors l'entrée n'est pas activée (accès uniquement depuis la vignette).</t>
  </si>
  <si>
    <t>US6.23-SC04</t>
  </si>
  <si>
    <t>Cohérence avec le catalogue</t>
  </si>
  <si>
    <t>Étant donné une fiche métadonnées d'indicateur, quand elle est consultée, alors elle est cohérente avec le catalogue de référence même si l'indicateur n'est pas encore calculé.</t>
  </si>
  <si>
    <t>US6.24-SC01</t>
  </si>
  <si>
    <t>Bascules de vue d'un graphique</t>
  </si>
  <si>
    <t>Étant donné un graphique d'indicateur, quand il est consulté, alors les bascules « Répartition », « Temporel », « Changements » et « Carte » sont disponibles.</t>
  </si>
  <si>
    <t>US6.24-SC02</t>
  </si>
  <si>
    <t>Désactivation de la vue Temporel</t>
  </si>
  <si>
    <t>Étant donné un indicateur sans historique, quand la vue « Temporel » serait demandée, alors elle est désactivée (grisée) avec le commentaire « données non historisées ».</t>
  </si>
  <si>
    <t>US6.24-SC03</t>
  </si>
  <si>
    <t>Transmission de la sélection entre vues</t>
  </si>
  <si>
    <t>Étant donné une vue active, quand je bascule entre les vues, alors l'indicateur, la sélection et la période courants sont transmis à la nouvelle vue.</t>
  </si>
  <si>
    <t>US6.24-SC04</t>
  </si>
  <si>
    <t>État « données insuffisantes »</t>
  </si>
  <si>
    <t>Étant donné la vue « Changements » demandée, quand les données sont insuffisantes, alors un état « données insuffisantes » est affiché au lieu d'un faux résultat.</t>
  </si>
  <si>
    <t>US6.24-SC05</t>
  </si>
  <si>
    <t>Cohérence de la vue Carte (H3)</t>
  </si>
  <si>
    <t>Étant donné un indicateur, quand la vue « Carte » (maille H3) est affichée, alors elle est cohérente avec la carte principale (classes et palettes identiques).</t>
  </si>
  <si>
    <t>US6.25-SC01</t>
  </si>
  <si>
    <t>Affichage de la liste des 38 indicateurs</t>
  </si>
  <si>
    <t>Étant donné le catalogue d'indicateurs complet, quand je l'ouvre, alors la liste complète (38 indicateurs) s'affiche, regroupée par Famille → Thème → Groupe avec compteurs.</t>
  </si>
  <si>
    <t>US6.25-SC02</t>
  </si>
  <si>
    <t>Famille/thème sans indicateur</t>
  </si>
  <si>
    <t>Étant donné un regroupement, quand une famille/thème est sans indicateur visible, alors elle est affichée vide ou masquée selon une règle cohérente, jamais tronquée arbitrairement.</t>
  </si>
  <si>
    <t>US6.25-SC03</t>
  </si>
  <si>
    <t>Recherche hiérarchisée</t>
  </si>
  <si>
    <t>Étant donné le catalogue des indicateurs, quand je recherche par libellé, alors le résultat reste hiérarchisé et identifiable.</t>
  </si>
  <si>
    <t>US6.25-SC04</t>
  </si>
  <si>
    <t>Masquage selon les droits du profil</t>
  </si>
  <si>
    <t>Étant donné les droits du profil, quand un indicateur n'est pas autorisé, alors il est absent de la liste pour ce profil, sans message d'erreur.</t>
  </si>
  <si>
    <t>US6.26-SC01</t>
  </si>
  <si>
    <t>Présélection via famille/thème/groupe</t>
  </si>
  <si>
    <t>Étant donné le volet droit des indicateurs, quand il est affiché, alors les onglets (tabs) par famille, les pastilles (pills) par thème et le menu déroulant par groupe sont disponibles.</t>
  </si>
  <si>
    <t>US6.26-SC02</t>
  </si>
  <si>
    <t>Présélection par thèmes</t>
  </si>
  <si>
    <t>Étant donné une famille sélectionnée, quand des pastilles (pills) sont choisies, alors la liste des groupes d'indicateurs est pré-sélectionnée en conséquence.</t>
  </si>
  <si>
    <t>US6.26-SC03</t>
  </si>
  <si>
    <t>Cohérence de l'indicateur proposé</t>
  </si>
  <si>
    <t>Étant donné une pré-sélection appliquée, quand le volet droit est rendu, alors l'indicateur proposé est en cohérence avec les thèmes et le groupe sélectionnés.</t>
  </si>
  <si>
    <t>US6.26-SC04</t>
  </si>
  <si>
    <t>Application au changement de tab</t>
  </si>
  <si>
    <t>Étant donné une navigation entre familles, quand je change de tab, alors la pré-sélection de la nouvelle famille s'applique sans confusion avec la précédente.</t>
  </si>
  <si>
    <t>US8.1-SC01</t>
  </si>
  <si>
    <t>Export CSV du périmètre sélectionné</t>
  </si>
  <si>
    <t>Étant donné une sélection courante (captages / BVAEP, indicateurs, facettes), quand je lance l'export CSV, alors un fichier CSV est téléchargé couvrant l'ensemble du périmètre sélectionné (filtres inclus).</t>
  </si>
  <si>
    <t>US8.1-SC02</t>
  </si>
  <si>
    <t>Fichier encodé UTF-8 avec BOM</t>
  </si>
  <si>
    <t>Étant donné le fichier téléchargé, quand je l'ouvre dans un tableur, alors il est encodé UTF-8 (BOM), avec séparateur cohérent, ligne d'entête et ligne par unité/valeur.</t>
  </si>
  <si>
    <t>US8.1-SC03</t>
  </si>
  <si>
    <t>Nommage des colonnes de l'export</t>
  </si>
  <si>
    <t>Étant donné les colonnes de l'export, quand le fichier est produit, alors elles sont nommées et documentées (identifiant, nom, échelle, période, valeur, unité) et cohérentes avec la vue affichée.</t>
  </si>
  <si>
    <t>US8.1-SC04</t>
  </si>
  <si>
    <t>Codage NA d'une valeur absente</t>
  </si>
  <si>
    <t>Étant donné une valeur absente, quand le fichier est rempli, alors la cellule est vide avec un code « NA » documenté (jamais un zéro à la place d'une donnée inconnue).</t>
  </si>
  <si>
    <t>US8.1-SC05</t>
  </si>
  <si>
    <t>Export complet d'un grand volume</t>
  </si>
  <si>
    <t>Étant donné un volume important, quand l'export est demandé, alors le résultat est complet (pagination interne, sans perte silencieuse) et la préparation est signalée si nécessaire.</t>
  </si>
  <si>
    <t>US8.6-SC01</t>
  </si>
  <si>
    <t>Export de vue simple</t>
  </si>
  <si>
    <t>Étant donné une « vue simple » en consultation, quand j'en demande l'export, alors je reçois un fichier consolidé et simple de la vue courante : sélection, indicateurs, période et facettes appliquées.</t>
  </si>
  <si>
    <t>US8.6-SC02</t>
  </si>
  <si>
    <t>Contenu conforme à la vue affichée</t>
  </si>
  <si>
    <t>Étant donné l'export de vue simple, quand il est produit, alors son contenu correspond à la vue affichée à l'écran au moment de l'export (ni plus, ni moins).</t>
  </si>
  <si>
    <t>US8.6-SC03</t>
  </si>
  <si>
    <t>Export en une action</t>
  </si>
  <si>
    <t>Étant donné la vue simple, quand l'export est déclenché, alors une seule action suffit, sans paramétrage avancé (adapté aux utilisateurs non techniques).</t>
  </si>
  <si>
    <t>US8.6-SC04</t>
  </si>
  <si>
    <t>Métadonnées d'en-tête du fichier</t>
  </si>
  <si>
    <t>Étant donné l'export de vue simple, quand le fichier est ouvert, alors les métadonnées d'en-tête (nom de la vue, date d'export, source « HydroScope ») précisent le périmètre diffusé.</t>
  </si>
  <si>
    <t>US9.2-SC01</t>
  </si>
  <si>
    <t>Connexion avec identifiants valides</t>
  </si>
  <si>
    <t>Étant donné des identifiants valides, quand je me connecte, alors l'authentification réussit et je suis redirigé vers la vue de mon profil, sans mot de passe affiché ni stocké en clair.</t>
  </si>
  <si>
    <t>US9.2-SC02</t>
  </si>
  <si>
    <t>Échec de connexion</t>
  </si>
  <si>
    <t>Étant donné des identifiants invalides, quand je tente une connexion, alors un message d'échec générique est affiché et l'incident (échec) est tracé côté logs.</t>
  </si>
  <si>
    <t>US9.2-SC03</t>
  </si>
  <si>
    <t>Déconnexion après expiration de session</t>
  </si>
  <si>
    <t>Étant donné une session authentifiée, quand celle-ci expire (inactivité définie), alors l'utilisateur est déconnecté proprement et redirigé vers le formulaire de connexion.</t>
  </si>
  <si>
    <t>US9.2-SC04</t>
  </si>
  <si>
    <t>Redirection d'un utilisateur non authentifié</t>
  </si>
  <si>
    <t>Étant donné une fonctionnalité protégée, quand un utilisateur non authentifié tente d'y accéder, alors une redirection vers l'authentification est effectuée avant de servir la ressource.</t>
  </si>
  <si>
    <t>US9.2-SC05</t>
  </si>
  <si>
    <t>Conformité RGPD de la session</t>
  </si>
  <si>
    <t>Étant donné la conformité RGPD (cookies / stockage local), quand une session est ouverte, alors aucun mot de passe ni donnée personnelle sensible n'est stocké côté navigateur.</t>
  </si>
  <si>
    <t>US9.3-SC01</t>
  </si>
  <si>
    <t>Attribution d'un rôle</t>
  </si>
  <si>
    <t>Étant donné les rôles définis par la plateforme (administrateur plateforme, administrateur expert data, expert métier eau potable, décideur, intéressé public), quand un compte est créé ou modifié, alors un rôle simple lui est attribué parmi cette liste normative.</t>
  </si>
  <si>
    <t>US9.3-SC02</t>
  </si>
  <si>
    <t>Application des droits selon le rôle</t>
  </si>
  <si>
    <t>Étant donné un utilisateur connecté, quand il utilise la plateforme, alors seules les fonctionnalités autorisées par son rôle sont visibles et actives.</t>
  </si>
  <si>
    <t>US9.3-SC03</t>
  </si>
  <si>
    <t>Blocage d'un accès non autorisé</t>
  </si>
  <si>
    <t>Étant donné un utilisateur sans droit, quand il tente d'accéder à une fonctionnalité ou URL directe, alors l'accès est bloqué (aucun contournement par autorisation via adresse directe).</t>
  </si>
  <si>
    <t>US9.3-SC04</t>
  </si>
  <si>
    <t>Application du changement de rôle</t>
  </si>
  <si>
    <t>Étant donné le changement de rôle d'un compte, quand il est enregistré, alors les nouveaux droits sont appliqués à la connexion suivante, sans privilège résiduel sur la session antérieure.</t>
  </si>
  <si>
    <t>US10.1-SC01</t>
  </si>
  <si>
    <t>Traçage d'un import</t>
  </si>
  <si>
    <t>Étant donné un import (fichier ou source externe) réalisé, quand il se termine, alors une entrée de journal est créée : type d'import, source, périmètre, nombre de lignes, statut (réussi / partiel / échoué) et horaire (dates/heures).</t>
  </si>
  <si>
    <t>US10.1-SC02</t>
  </si>
  <si>
    <t>Consultation des erreurs d'import</t>
  </si>
  <si>
    <t>Étant donné un import partiel ou échoué, quand l'entrée est consultée, alors les détails des erreurs (lignes rejetées, motif) sont accessibles pour la correction.</t>
  </si>
  <si>
    <t>US10.1-SC03</t>
  </si>
  <si>
    <t>Recherche dans le journal des imports</t>
  </si>
  <si>
    <t>Étant donné le journal des imports, quand je le consulte, alors la recherche par période, source et statut est possible, et le contenu est immuable (aucune suppression).</t>
  </si>
  <si>
    <t>US10.1-SC04</t>
  </si>
  <si>
    <t>Visibilité de l'événement dans les délais</t>
  </si>
  <si>
    <t>Étant donné un import suivi, quand il est enregistré, alors l'événement est visible dans le journal dans un délai conforme aux engagements contractuels, indépendamment du statut ultérieur des données.</t>
  </si>
  <si>
    <t>US10.2-SC01</t>
  </si>
  <si>
    <t>Traçage d'un calcul</t>
  </si>
  <si>
    <t>Étant donné un calcul (indicateur simple, agrégation bassin versant, agrégation temporelle) exécuté, quand il est journalisé, alors le journal enregistre : identifiant de l'exécution, version de l'indicateur, données d'entrée, paramètres, date et statut.</t>
  </si>
  <si>
    <t>US10.2-SC02</t>
  </si>
  <si>
    <t>Nouvelle entrée de journal au recalcul</t>
  </si>
  <si>
    <t>Étant donné un recalcul, quand il est déclenché, alors une nouvelle entrée de journal est créée (l'entrée précédente n'est pas écrasée), permettant la reconstitution.</t>
  </si>
  <si>
    <t>US10.2-SC03</t>
  </si>
  <si>
    <t>Liaison résultat/définition</t>
  </si>
  <si>
    <t>Étant donné le journal des calculs, quand je le consulte, alors il permet de relier chaque résultat à la définition d'indicateur et aux paramètres utilisés.</t>
  </si>
  <si>
    <t>US10.2-SC04</t>
  </si>
  <si>
    <t>Explicitation d'un échec de calcul</t>
  </si>
  <si>
    <t>Étant donné l'échec d'un calcul, quand il est journalisé, alors le motif est explicité, accessible à l'administrateur pour permettre la correction.</t>
  </si>
  <si>
    <t>US7.3-SC01</t>
  </si>
  <si>
    <t>Affichage d'une tendance</t>
  </si>
  <si>
    <t>Étant donné un indicateur historisé, quand l'analyse est déclenchée, alors une tendance (orientation : hausse, baisse, stable) est affichée avec sa période de référence.</t>
  </si>
  <si>
    <t>US7.3-SC02</t>
  </si>
  <si>
    <t>Fondement de l'intensité sur une règle</t>
  </si>
  <si>
    <t>Étant donné la tendance calculée, quand je la consulte, alors l'intensité (delta ou seuil de variation) présentée est fondée sur une règle explicite et reproductible.</t>
  </si>
  <si>
    <t>US7.3-SC03</t>
  </si>
  <si>
    <t>Détail de l'évolution au survol</t>
  </si>
  <si>
    <t>Étant donné une tendance détectée, quand je survole l'élément, alors les valeurs montrant l'évolution de la période sont détaillées.</t>
  </si>
  <si>
    <t>US7.3-SC04</t>
  </si>
  <si>
    <t>État « historique insuffisant »</t>
  </si>
  <si>
    <t>Étant donné une série trop courte pour une tendance significative, quand elle est demandée, alors l'état « historique insuffisant » est affiché au lieu d'un résultat indicatif.</t>
  </si>
  <si>
    <t>US7.4-SC01</t>
  </si>
  <si>
    <t>Déclenchement d'une alerte au changement</t>
  </si>
  <si>
    <t>En tant qu'expert métier eau potable, je veux être alerté à la consultation lors de la détection d'un changement significatif sur un indicateur ou un captage/BVAEP, afin de déclencher une analyse ou une action en temps opportun.</t>
  </si>
  <si>
    <t>Étant donné une règle de détection configurée (seuils US7.1, tendances US7.3), quand la valeur d'un indicateur sur un captage ou BVAEP franchit le critère de changement significatif, alors une alerte au changement est levée, datée et qualifiée. -</t>
  </si>
  <si>
    <t>US7.4-SC02</t>
  </si>
  <si>
    <t>Exposition de la règle déclencheuse</t>
  </si>
  <si>
    <t>Étant donné une alerte levée, quand je consulte son détail, alors la règle déclencheuse (indicateur, delta, période comparée, seuil) est exposée de façon explicite et reproductible. -</t>
  </si>
  <si>
    <t>US7.4-SC03</t>
  </si>
  <si>
    <t>Mise en évidence à la consultation</t>
  </si>
  <si>
    <t>Étant donné un captage/BVAEP avec une alerte active, quand je consulte sa fiche ou sa vue, alors les indicateurs ayant évolué sont mis en évidence (badge/teinte), sans aucune notification poussée (consultation seule). -</t>
  </si>
  <si>
    <t>US7.4-SC04</t>
  </si>
  <si>
    <t>Distinction seuil/tendance</t>
  </si>
  <si>
    <t>Étant donné une vue présentant plusieurs signalements, quand ils coexistent, alors l'alerte au changement est distinguée du dépassement de seuil (US7.1) et de la tendance (US7.3). -</t>
  </si>
  <si>
    <t>US7.4-SC05</t>
  </si>
  <si>
    <t>Levée ou résolution d'alerte</t>
  </si>
  <si>
    <t>Étant donné une alerte active, quand la valeur revient sous le critère ou la période de référence change, alors l'alerte est levée ou marquée « en résolution », sans message résiduel trompeur. -</t>
  </si>
  <si>
    <t>US7.4-SC06</t>
  </si>
  <si>
    <t>Consultation de l'historique des alertes</t>
  </si>
  <si>
    <t>Étant donné le suivi d'un captage/BVAEP, quand je consulte l'historique, alors les alertes passées restent consultables (date, règle, état) sans être écrasées. -</t>
  </si>
  <si>
    <t>US7.4-SC07</t>
  </si>
  <si>
    <t>Historique insuffisant</t>
  </si>
  <si>
    <t>Étant donné une série trop courte ou non historisée, quand une alerte serait candidate, alors l'état « historique insuffisant » est affiché et aucune alerte due n'est levée. -</t>
  </si>
  <si>
    <t>US7.4-SC08</t>
  </si>
  <si>
    <t>Respect des droits et traçabilité</t>
  </si>
  <si>
    <t>Étant donné un profil habilité, quand une alerte est active ou configurée, alors la lecture respecte les droits (RBAC) et la configuration reste tracée (utilisateur,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</si>
</sst>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
    </font>
    <font>
      <b/>
      <sz val="11"/>
      <color rgb="FFFFFFFF"/>
      <name val="Cambria"/>
      <charset val="1"/>
    </font>
  </fonts>
  <fills count="3">
    <fill>
      <patternFill patternType="none"/>
    </fill>
    <fill>
      <patternFill patternType="gray125"/>
    </fill>
    <fill>
      <patternFill patternType="solid">
        <fgColor rgb="FF1F4E5F"/>
        <bgColor rgb="FF333333"/>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arjolaine DAVID" id="{7DB07882-34EC-459A-A5D1-0A95685185B9}" userId="S::marjolaine.david@oeilnc.onmicrosoft.com::59f0528e-2675-4117-a2e8-1aa7827727b9"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 dT="2026-09-02T22:54:44.23" personId="{7DB07882-34EC-459A-A5D1-0A95685185B9}" id="{81046806-497B-4741-B3F2-154557F53E47}">
    <text>L'import de fichiers semble intéressante pour l'automatisation (pour jeux de données qui n'ont pas d'API et transmis directement par les partenaires)
Mais compliqué à mettre en place dans une v1 selon moi : on ne sait pas encore à quoi vont ressembler leurs fichiers et s'ils auront la même structure à chaque maj... Et à part pour l'automatisation l'import ne me parait pas utile. je mettrais en lot 2.</text>
  </threadedComment>
  <threadedComment ref="K3" dT="2026-09-03T03:52:32.84" personId="{7DB07882-34EC-459A-A5D1-0A95685185B9}" id="{EA6EDE0F-E03D-487C-928E-892211372772}">
    <text>Pour les API c'est notre back (nos ETL/scripts d'intégration) qui va y faire appel
A virer ou à mettre en backend si pas redondant avec d'autres US?</text>
  </threadedComment>
  <threadedComment ref="K4" dT="2026-09-03T03:42:02.89" personId="{7DB07882-34EC-459A-A5D1-0A95685185B9}" id="{B873D1F3-98F3-4A1D-9020-8C06A01878A0}">
    <text>Intégration plutôt que import</text>
  </threadedComment>
  <threadedComment ref="K12" dT="2026-09-02T23:10:49.39" personId="{7DB07882-34EC-459A-A5D1-0A95685185B9}" id="{023233AC-00E2-405F-89E8-362B65961D96}">
    <text>US1bis.4US1bis.5US1bis.6
Idéalement le catalogue (et ses fonctionnalités de filtres associées) sera géré par HydroScope directement mais centralisé pour les differentes apps
C'est envisageable de prévoir 2 options?Et on développe l'une ou l'autre dans le cadre d'HydroScope en fonction du budget et du temps qu'il reste  :
1- (lot 1 MVP) une vue simple dans HydroScope type "fiche" qui récapitule toutes les données utilisées et permet d'afficher les metadonnées associées (sans filtres ou requete avancée)
2- (lot 2) une interface à part, pour remplacer l'interface actuelle du catalogue de métadonnées de l'oeil, et qui peut etre filtré par appli ou autre critère, et qui fournit aussi des services pour certaines données publiées via le geoserveur avec un iframe</text>
  </threadedComment>
  <threadedComment ref="K17" dT="2026-09-02T23:23:19.14" personId="{7DB07882-34EC-459A-A5D1-0A95685185B9}" id="{508E3181-E1C6-46B2-9676-AD1710705348}">
    <text>Si la donnée "dérivée" est l'indicateur, il faut aussi mentionner les donnés "brutes" qui permettent de constituer nos données source</text>
  </threadedComment>
  <threadedComment ref="K18" dT="2026-09-02T23:17:34.83" personId="{7DB07882-34EC-459A-A5D1-0A95685185B9}" id="{01FC80DF-5932-4898-809B-24F316FB8EE7}">
    <text>je dirais "lors des intégrations de données"</text>
  </threadedComment>
  <threadedComment ref="K19" dT="2026-09-02T23:21:21.70" personId="{7DB07882-34EC-459A-A5D1-0A95685185B9}" id="{89D6D8AF-D653-42C0-92C8-FD6D5B725011}">
    <text>Tu veux par exemple relier un jeu d'indicateurs à une exécution pour connaitre ses paramètres de croisement ou relier des données "sources" à un etl d'intégration?</text>
  </threadedComment>
  <threadedComment ref="K21" dT="2026-09-02T23:25:09.71" personId="{7DB07882-34EC-459A-A5D1-0A95685185B9}" id="{07C93F31-B0C4-40F7-A099-B1FB4CD452D0}">
    <text>A regrouper avec consulter les métadonnées d'un jeu de données puisque tout sera catalogué? J'ai l'impression que ca correspond à la même fonctionnalité</text>
  </threadedComment>
  <threadedComment ref="K22" dT="2026-09-02T23:26:06.46" personId="{7DB07882-34EC-459A-A5D1-0A95685185B9}" id="{E85A68E6-59FA-4816-A3E8-3ECCD7C4BBA0}">
    <text xml:space="preserve">Sans modifier la structure de quoi ? De la bdd ? </text>
  </threadedComment>
  <threadedComment ref="K24" dT="2026-09-03T00:59:59.65" personId="{7DB07882-34EC-459A-A5D1-0A95685185B9}" id="{F9CB5936-68E2-4691-8015-F0A9C23B3434}">
    <text>US2.1US2.2US2.3
T'as des exemples de tests de cohérence ? c'est vague pour moi les validations qui peuvent être mises en place</text>
  </threadedComment>
  <threadedComment ref="K27" dT="2026-09-03T03:14:33.81" personId="{7DB07882-34EC-459A-A5D1-0A95685185B9}" id="{5C4CC505-A521-4CFB-9A6B-F85C78B993D4}">
    <text>Taux de complétude sur le territoire de la NC ?</text>
  </threadedComment>
  <threadedComment ref="K28" dT="2026-09-03T03:15:58.78" personId="{7DB07882-34EC-459A-A5D1-0A95685185B9}" id="{F25A2584-30B5-4EB0-B56C-1E5F64C59614}">
    <text>US2.5US2.6
Tu as mis la qualification et la qualité en MVP mais certaines données ne seront probablement pas qualifiées dans la V1, par ex dynamic world si on l'utilise
Tu avais autre chose en tète quand tu parlais de critères de qualité ?</text>
  </threadedComment>
  <threadedComment ref="K30" dT="2026-09-03T03:20:48.12" personId="{7DB07882-34EC-459A-A5D1-0A95685185B9}" id="{2929EE09-8207-4CA8-9E24-98B02FFF569E}">
    <text xml:space="preserve">Ok à garder en lot 2 mais c'est pas une priorité du coup </text>
  </threadedComment>
  <threadedComment ref="K31" dT="2026-09-03T03:28:40.39" personId="{7DB07882-34EC-459A-A5D1-0A95685185B9}" id="{0142E358-C354-4DDD-A161-6CCAE1E457F4}">
    <text>US3.1US3.2US3.3US3.4
Qu'est ce que tu entends par gérer ? les référentiels et la grille seront mis à jour au même titre que les autres données, non ? Pourquoi faire un distinction ?
Et l'agréation au niveau des référentiels figure déjà dans la liste un peu plus bas
D'ailleurs, je mettrais le maillage H3 en lot 2 car on avisera en fonction de la maturité de notre SI</text>
  </threadedComment>
  <threadedComment ref="K35" dT="2026-09-03T03:31:57.43" personId="{7DB07882-34EC-459A-A5D1-0A95685185B9}" id="{8D129C04-627F-4536-BDC9-DFB5693D5D42}">
    <text>Cad "définir pour le rendre calculable" ?
Tous les indicateurs seront précalculés non ? Je capte pas la subtilité
Tu veux permettre à l'admin de créer de nouveaux indicateurs via l'interface ce qui va générer de nouveaux croisements ?</text>
  </threadedComment>
  <threadedComment ref="K36" dT="2026-09-03T21:44:14.47" personId="{7DB07882-34EC-459A-A5D1-0A95685185B9}" id="{788091B5-29E7-4A73-95AE-3519DA6EBF42}">
    <text>Pourquoi c'est dans l'EPIC referentiels?</text>
  </threadedComment>
  <threadedComment ref="K39" dT="2026-09-03T03:56:34.20" personId="{7DB07882-34EC-459A-A5D1-0A95685185B9}" id="{3A1AD52B-8851-4C78-A8B9-6BAD52B1BB5E}">
    <text>et des ppe et captages</text>
  </threadedComment>
  <threadedComment ref="K41" dT="2026-09-03T03:59:08.28" personId="{7DB07882-34EC-459A-A5D1-0A95685185B9}" id="{B979D167-EA3C-46EC-8967-FC4A2DD910FA}">
    <text>On pourrait regrouper avec l'US 4.1 "calcul paramétrable" non ? Ya pas forcément des params propres à chaque source de donnée ?</text>
  </threadedComment>
  <threadedComment ref="K42" dT="2026-09-03T06:38:40.21" personId="{7DB07882-34EC-459A-A5D1-0A95685185B9}" id="{489B1581-C85D-40DD-94F6-4662A408E4F4}">
    <text>Pré calcul des indicateurs, pas de "filtre" a appliquer au calcul via le front pour moi
A retirer ?</text>
  </threadedComment>
  <threadedComment ref="K44" dT="2026-09-03T06:39:35.60" personId="{7DB07882-34EC-459A-A5D1-0A95685185B9}" id="{89B46F4B-7314-4D0E-9E77-B9FC856EFC8E}">
    <text>Calculer / recalculer =&gt; c'est vraiment 2 fonctionnalités à distinguer ?</text>
  </threadedComment>
  <threadedComment ref="K45" dT="2026-09-03T06:41:53.17" personId="{7DB07882-34EC-459A-A5D1-0A95685185B9}" id="{653B342C-CECD-461C-82DF-959EDE149BC2}">
    <text>La définition de l'indice composite (méthode d'AMC) sera codée en dur, pas à définir dans le front
A virer ?</text>
  </threadedComment>
  <threadedComment ref="K46" dT="2026-09-03T06:43:38.91" personId="{7DB07882-34EC-459A-A5D1-0A95685185B9}" id="{456BE34E-2E2D-4AB8-A064-B317850F4832}">
    <text>à l'échelle d'un indicateur et à l'échelle d'une famille d'indicateurs</text>
  </threadedComment>
  <threadedComment ref="K47" dT="2026-09-03T06:53:17.81" personId="{7DB07882-34EC-459A-A5D1-0A95685185B9}" id="{7AFBB8A3-F285-4471-B77C-E66D3BEEDF82}">
    <text>tester/definir : je vois pas la nuance la non plus</text>
  </threadedComment>
  <threadedComment ref="K48" dT="2026-09-03T06:54:32.98" personId="{7DB07882-34EC-459A-A5D1-0A95685185B9}" id="{6D84150F-BE1A-4E52-A846-A460BD9E66F3}">
    <text>on a aussi parlé d'enregistrer et de partager des scénarios</text>
  </threadedComment>
  <threadedComment ref="K49" dT="2026-09-03T06:59:09.33" personId="{7DB07882-34EC-459A-A5D1-0A95685185B9}" id="{A696ADDC-1025-48F5-900F-878209AD011C}">
    <text>on aura pas de score de criticité mais un classement =&gt; cf le mail du 14 août 2026
"
- Il nous semble également important de préciser qu'il faudra cibler une méthode de classement multicritère, dans la mesure où l'analyse multicritère au sens large inclut également des approches de notation absolue. Les résultats de l'outil auraient donc plutôt vocation à être présentés sous forme de classement ou de priorisation que sous forme d'une note.
- Dans cette logique, il nous semble plus juste, à ce stade, de parler d'explorateur de priorisation plutôt que d'un véritable outil d'analyse multicritère. Ce dernier suppose en effet la production de résultats aboutis et figés, ce qui nécessiterait des travaux méthodologiques complémentaires (analyse de sensibilité, étude des dépendances entre indicateurs, etc.)."</text>
  </threadedComment>
  <threadedComment ref="K50" dT="2026-09-03T07:02:57.80" personId="{7DB07882-34EC-459A-A5D1-0A95685185B9}" id="{36CDE517-3F64-4CCE-AA1D-73F08DB10B61}">
    <text xml:space="preserve">Oui, il faudra peut etre détailler + ce point ? (pondérations affichées dans l'export d'un rapport, ajout obligatoire d'une fiche methodo associé a un jeu de pondérations partageables...) : cf mail du 14 aout :
"
- Il sera possible de mettre à disposition des jeux de pondérations de référence élaborés par des groupes de travail ou des instances de gouvernance (par exemple des pondérations validées dans le cadre d'un atelier dédié).
- Afin de garantir la transparence des résultats, chaque jeu de pondérations mis à disposition devra être accompagné d'un document présentant la méthode utilisée (AHP, Swing weighting...), les participants impliqués et les modalités de validation retenues. Les résultats indiqueront aussi la méthode utilisée et les pondérations affectées.
"
</text>
  </threadedComment>
  <threadedComment ref="K51" dT="2026-09-03T07:39:58.41" personId="{7DB07882-34EC-459A-A5D1-0A95685185B9}" id="{AD5787EC-5B23-4D3A-A053-94AA54FBA651}">
    <text>Beaucoup de redondance entre les US je trouve : tu pourrais la aussi regrouper celle la avec les 2 suivantes non ?</text>
  </threadedComment>
  <threadedComment ref="K55" dT="2026-09-03T07:09:09.04" personId="{7DB07882-34EC-459A-A5D1-0A95685185B9}" id="{10D56734-EAA8-43B1-9161-FDE2DCAF8611}">
    <text xml:space="preserve">selon des indicateurs agrégés </text>
  </threadedComment>
  <threadedComment ref="K58" dT="2026-09-03T07:10:25.44" personId="{7DB07882-34EC-459A-A5D1-0A95685185B9}" id="{1A25A0B2-EC9B-4357-8608-40FC308F99E8}">
    <text>en tant qu'expert métier non ?</text>
  </threadedComment>
  <threadedComment ref="K64" dT="2026-09-03T07:19:23.15" personId="{7DB07882-34EC-459A-A5D1-0A95685185B9}" id="{327934CE-FF80-4B54-8258-95140AF19DF2}">
    <text>a regrouper avec une US au dessus non ? c'est du détail</text>
  </threadedComment>
  <threadedComment ref="K66" dT="2026-09-03T07:21:25.64" personId="{7DB07882-34EC-459A-A5D1-0A95685185B9}" id="{325EC2DC-79AF-4931-83A5-D7EF3B43EF8F}">
    <text>expert métier plutôt ? 
+ selection ppe</text>
  </threadedComment>
  <threadedComment ref="K68" dT="2026-09-03T07:30:08.52" personId="{7DB07882-34EC-459A-A5D1-0A95685185B9}" id="{BB477976-3437-4AEE-9621-0834D8F27C29}">
    <text>US à scinder je pense :
En tant qu' utilisateur / décideur,
Je veux que la facette "Commune" se filtre automatiquement lorsque je sélectionne un bassin versant
En tant qu'administrateur expert data, je veux calculer les intersections entre referentiels (bv, ppe, communes, captages) afin de comprendre leurs liens et d'alimenter les facettes et filtres de l'interface selon la sélection de l'utilisateur 
=&gt; US juste en dessous à virer si on met ca</text>
  </threadedComment>
  <threadedComment ref="K71" dT="2026-09-03T07:32:04.63" personId="{7DB07882-34EC-459A-A5D1-0A95685185B9}" id="{2C9FFEF3-F6A3-4C73-935C-A37F376D9D40}">
    <text>expert métier</text>
  </threadedComment>
  <threadedComment ref="K73" dT="2026-09-03T07:33:20.15" personId="{7DB07882-34EC-459A-A5D1-0A95685185B9}" id="{D91010E7-CFC8-441D-BA70-289C0B41F06F}">
    <text>expert métier (+décideur?)</text>
  </threadedComment>
  <threadedComment ref="K74" dT="2026-09-03T07:41:40.14" personId="{7DB07882-34EC-459A-A5D1-0A95685185B9}" id="{FEFC8753-D79B-40BD-B3A7-116A7E114037}">
    <text>Choix ergo UX pas une fonctionnalité
T'as déjà parlé de graphiques d'évolution et de carto ca fait redondant</text>
  </threadedComment>
  <threadedComment ref="K76" dT="2026-09-03T21:32:51.09" personId="{7DB07882-34EC-459A-A5D1-0A95685185B9}" id="{0FCF9870-AA33-4FEC-A704-44C857E06B14}">
    <text>J'enlèverais le côté UX "volet droit"; et je dirais que c'est une fonctionnalité expert métier
En tant qu' expert métier / utilisateur,
Je veux sélectionner individuellement les indicateurs à activer au sein de chaque famille thématique,
Afin de personnaliser mon analyse et ne conserver que les métriques pertinentes pour mon étude.</text>
  </threadedComment>
  <threadedComment ref="K77" dT="2026-09-03T21:33:30.36" personId="{7DB07882-34EC-459A-A5D1-0A95685185B9}" id="{320A46CB-4BA1-42C8-A285-B602906095C5}">
    <text>Expert métier
CSV et format SIG à regrouper</text>
  </threadedComment>
  <threadedComment ref="K80" dT="2026-09-03T21:34:29.49" personId="{7DB07882-34EC-459A-A5D1-0A95685185B9}" id="{ACD56600-F7A6-403B-8692-32A322BF4DE8}">
    <text>expert métier</text>
  </threadedComment>
  <threadedComment ref="K81" dT="2026-09-03T21:37:48.48" personId="{7DB07882-34EC-459A-A5D1-0A95685185B9}" id="{97993331-B1A2-4AE0-8BB4-2F369A504207}">
    <text>expert métier</text>
  </threadedComment>
  <threadedComment ref="K82" dT="2026-09-03T21:39:10.57" personId="{7DB07882-34EC-459A-A5D1-0A95685185B9}" id="{1761F271-1DDB-43F4-989A-7F3C1AF1C235}">
    <text>expert métier
préciser le format d'export ? redondant avec le rapport pdf ?</text>
  </threadedComment>
  <threadedComment ref="K83" dT="2026-09-03T21:40:30.37" personId="{7DB07882-34EC-459A-A5D1-0A95685185B9}" id="{2D20C814-4E01-4C15-9832-A098CB18E8C2}">
    <text>c'est normal que MVP soit à False ?</text>
  </threadedComment>
  <threadedComment ref="K85" dT="2026-09-03T21:42:53.22" personId="{7DB07882-34EC-459A-A5D1-0A95685185B9}" id="{89CD35D5-BEC0-4223-88E4-487633D844DA}">
    <text>redondance avec US 3.6</text>
  </threadedComment>
  <threadedComment ref="K86" dT="2026-09-03T21:49:10.21" personId="{7DB07882-34EC-459A-A5D1-0A95685185B9}" id="{0DDF1EE2-4936-47E5-9F49-799A95C4C89E}">
    <text>redondante avec l'US suivante et à scinder vue/fonctionnalités vs données:
En tant qu' administrateur plateforme,
Je veux restreindre l'accès aux fonctionnalités avancées selon le rôle de l'utilisateur,
Afin d' éviter les erreurs de manipulation et réserver les outils d'édition/export aux profils habilités. (front, mvp=true)
En tant qu' administrateur plateforme,
Je veux filtrer la visibilité des jeux de données et indicateurs sensibles selon le profil de l'utilisateur,
Afin de garantir la confidentialité des informations et respecter les conventions d'échange de données. (back, mvp = false car à priori pas de donnée sensible pour le moment ? je sais pas en fait)</text>
  </threadedComment>
  <threadedComment ref="K89" dT="2026-09-04T00:28:37.12" personId="{7DB07882-34EC-459A-A5D1-0A95685185B9}" id="{BF3BAE90-EF69-46C9-863F-9CDFD17CDA38}">
    <text>US1bis8 US9.6 US10.1 US10.2 US10.3 US10.4 10.6 à remanier en 2 ou 3 US je pense (redondance) 
proposition (pas forcément 
Suivi des Pipelines
En tant qu'administrateur, je veux consulter le journal d'exécution des flux (ETL, calculs d'indicateurs), afin de vérifier la bonne intégration des données et diagnostiquer les erreurs de traitement. 
Audit de Sécurité 
En tant qu'administrateur, je veux consulter le journal d'audit applicatif, afin de tracer les connexions, les modifications de droits et les actions de configuration système. (pas d'autres actions que ca je dirais vu que c'est pas une app de saisie)
Versioning Métier
En tant qu'administrateur, je veux consulter l'historique des versions de données, afin de suivre l'évolution des référentiels. =&gt; à voir je crois que tu as déjà mis US liées à ca</text>
  </threadedComment>
  <threadedComment ref="K93" dT="2026-09-04T01:12:24.79" personId="{7DB07882-34EC-459A-A5D1-0A95685185B9}" id="{9AD64FD3-923E-4A7D-96DC-6C7A3B4698D7}">
    <text>tu as deja mis un US "recalculer" plus haut + l'US10.5 tracer les calculs afin de reconstituer leur exécution 
tu parles de quel genre de calcul ? calcul d'indicateur , amc ? 
dans tous les cas je pense que c'est encore redondant avec d'autres us</text>
  </threadedComment>
  <threadedComment ref="K98" dT="2026-09-04T01:19:22.86" personId="{7DB07882-34EC-459A-A5D1-0A95685185B9}" id="{1AFB474C-EAD3-47A9-B79C-6F7B7A82608E}">
    <text>us7.4 + 7.2
être alerté des dépassement de seuils ou de changements significatifs
+ être alerté des nouveautés (intégrations de données, nouvelles fonctionnalités) régulièrement</text>
  </threadedComment>
  <threadedComment ref="K99" dT="2026-09-04T01:15:36.29" personId="{7DB07882-34EC-459A-A5D1-0A95685185B9}" id="{97CFF8E2-EE5E-4368-B79D-CAF5DC422F94}">
    <text>selon un classement multicritère</text>
  </threadedComment>
  <threadedComment ref="K100" dT="2026-09-04T01:16:07.38" personId="{7DB07882-34EC-459A-A5D1-0A95685185B9}" id="{BD82F9FC-B14B-410C-8820-24C8C71B093F}">
    <text>c'est quoi?
on a déjà 
En tant qu'expert métier eau potable, je veux visualiser la contribution de chaque indicateur au score de criticité afin de comprendre les facteurs de risque dominants.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
  <sheetViews>
    <sheetView tabSelected="1" topLeftCell="J1" zoomScaleNormal="100" workbookViewId="0">
      <pane ySplit="1" topLeftCell="D2" activePane="bottomLeft" state="frozen"/>
      <selection pane="bottomLeft" activeCell="K3" sqref="K3"/>
      <selection activeCell="J1" sqref="J1"/>
    </sheetView>
  </sheetViews>
  <sheetFormatPr defaultColWidth="8.7109375" defaultRowHeight="15"/>
  <cols>
    <col min="1" max="1" width="28.7109375" customWidth="1"/>
    <col min="2" max="2" width="9.5703125" customWidth="1"/>
    <col min="3" max="3" width="23.7109375" customWidth="1"/>
    <col min="4" max="4" width="8" customWidth="1"/>
    <col min="5" max="5" width="17.42578125" customWidth="1"/>
    <col min="6" max="6" width="13.140625" customWidth="1"/>
    <col min="7" max="7" width="8.140625" customWidth="1"/>
    <col min="8" max="8" width="12.28515625" customWidth="1"/>
    <col min="9" max="9" width="6.7109375" customWidth="1"/>
    <col min="10" max="10" width="23" customWidth="1"/>
    <col min="11" max="11" width="132.5703125" customWidth="1"/>
    <col min="12" max="12" width="33.85546875" customWidth="1"/>
    <col min="13" max="13" width="19.5703125" customWidth="1"/>
    <col min="16384" max="16384" width="11.5703125" customWidth="1"/>
  </cols>
  <sheetData>
    <row r="1" spans="1:13" ht="27.75" customHeight="1">
      <c r="A1" s="1" t="s">
        <v>0</v>
      </c>
      <c r="B1" s="1" t="s">
        <v>1</v>
      </c>
      <c r="C1" s="1" t="s">
        <v>2</v>
      </c>
      <c r="D1" s="1" t="s">
        <v>3</v>
      </c>
      <c r="E1" s="1" t="s">
        <v>4</v>
      </c>
      <c r="F1" s="1" t="s">
        <v>5</v>
      </c>
      <c r="G1" s="1" t="s">
        <v>6</v>
      </c>
      <c r="H1" s="1" t="s">
        <v>7</v>
      </c>
      <c r="I1" s="1" t="s">
        <v>8</v>
      </c>
      <c r="J1" s="1" t="s">
        <v>9</v>
      </c>
      <c r="K1" s="1" t="s">
        <v>10</v>
      </c>
      <c r="L1" t="s">
        <v>11</v>
      </c>
      <c r="M1" t="s">
        <v>12</v>
      </c>
    </row>
    <row r="2" spans="1:13" ht="15" customHeight="1">
      <c r="A2" t="s">
        <v>13</v>
      </c>
      <c r="B2" t="s">
        <v>14</v>
      </c>
      <c r="C2" t="s">
        <v>15</v>
      </c>
      <c r="D2" t="s">
        <v>16</v>
      </c>
      <c r="E2" t="s">
        <v>17</v>
      </c>
      <c r="F2" t="s">
        <v>18</v>
      </c>
      <c r="H2" t="s">
        <v>19</v>
      </c>
      <c r="I2" t="s">
        <v>20</v>
      </c>
      <c r="J2" t="s">
        <v>21</v>
      </c>
      <c r="K2" t="s">
        <v>22</v>
      </c>
      <c r="L2">
        <v>12</v>
      </c>
      <c r="M2">
        <v>22</v>
      </c>
    </row>
    <row r="3" spans="1:13" ht="15" customHeight="1">
      <c r="A3" t="s">
        <v>13</v>
      </c>
      <c r="B3" t="s">
        <v>23</v>
      </c>
      <c r="C3" t="s">
        <v>24</v>
      </c>
      <c r="D3" t="s">
        <v>25</v>
      </c>
      <c r="E3" t="s">
        <v>17</v>
      </c>
      <c r="F3" t="s">
        <v>18</v>
      </c>
      <c r="H3" t="s">
        <v>19</v>
      </c>
      <c r="I3" t="s">
        <v>20</v>
      </c>
      <c r="J3" t="s">
        <v>21</v>
      </c>
      <c r="K3" t="s">
        <v>26</v>
      </c>
    </row>
    <row r="4" spans="1:13" ht="15" customHeight="1">
      <c r="A4" t="s">
        <v>13</v>
      </c>
      <c r="B4" t="s">
        <v>27</v>
      </c>
      <c r="C4" t="s">
        <v>28</v>
      </c>
      <c r="D4" t="s">
        <v>16</v>
      </c>
      <c r="E4" t="s">
        <v>29</v>
      </c>
      <c r="F4" t="s">
        <v>18</v>
      </c>
      <c r="G4" t="s">
        <v>14</v>
      </c>
      <c r="H4" t="s">
        <v>19</v>
      </c>
      <c r="I4" t="s">
        <v>20</v>
      </c>
      <c r="J4" t="s">
        <v>21</v>
      </c>
      <c r="K4" t="s">
        <v>30</v>
      </c>
      <c r="L4">
        <f>SUMIF('Besoins testables'!$D:$D,$A4,'Besoins testables'!$O:$O)</f>
        <v>0</v>
      </c>
    </row>
    <row r="5" spans="1:13" ht="15" customHeight="1">
      <c r="A5" t="s">
        <v>13</v>
      </c>
      <c r="B5" t="s">
        <v>31</v>
      </c>
      <c r="C5" t="s">
        <v>32</v>
      </c>
      <c r="D5" t="s">
        <v>16</v>
      </c>
      <c r="E5" t="s">
        <v>29</v>
      </c>
      <c r="F5" t="s">
        <v>18</v>
      </c>
      <c r="G5" t="s">
        <v>14</v>
      </c>
      <c r="H5" t="s">
        <v>33</v>
      </c>
      <c r="I5" t="s">
        <v>20</v>
      </c>
      <c r="J5" t="s">
        <v>21</v>
      </c>
      <c r="K5" t="s">
        <v>34</v>
      </c>
      <c r="L5">
        <f>SUMIF('Besoins testables'!$D:$D,$A5,'Besoins testables'!$O:$O)</f>
        <v>0</v>
      </c>
    </row>
    <row r="6" spans="1:13" ht="15" customHeight="1">
      <c r="A6" t="s">
        <v>13</v>
      </c>
      <c r="B6" t="s">
        <v>35</v>
      </c>
      <c r="C6" t="s">
        <v>36</v>
      </c>
      <c r="D6" t="s">
        <v>16</v>
      </c>
      <c r="E6" t="s">
        <v>17</v>
      </c>
      <c r="F6" t="s">
        <v>18</v>
      </c>
      <c r="G6" t="s">
        <v>14</v>
      </c>
      <c r="H6" t="s">
        <v>19</v>
      </c>
      <c r="I6" t="s">
        <v>20</v>
      </c>
      <c r="J6" t="s">
        <v>21</v>
      </c>
      <c r="K6" t="s">
        <v>37</v>
      </c>
      <c r="L6">
        <f>SUMIF('Besoins testables'!$D:$D,$A6,'Besoins testables'!$O:$O)</f>
        <v>0</v>
      </c>
    </row>
    <row r="7" spans="1:13" ht="15" customHeight="1">
      <c r="A7" t="s">
        <v>13</v>
      </c>
      <c r="B7" t="s">
        <v>38</v>
      </c>
      <c r="C7" t="s">
        <v>39</v>
      </c>
      <c r="D7" t="s">
        <v>16</v>
      </c>
      <c r="E7" t="s">
        <v>29</v>
      </c>
      <c r="F7" t="s">
        <v>18</v>
      </c>
      <c r="G7" t="s">
        <v>14</v>
      </c>
      <c r="H7" t="s">
        <v>40</v>
      </c>
      <c r="I7" t="s">
        <v>41</v>
      </c>
      <c r="J7" t="s">
        <v>21</v>
      </c>
      <c r="K7" t="s">
        <v>42</v>
      </c>
      <c r="L7">
        <f>SUMIF('Besoins testables'!$D:$D,$A7,'Besoins testables'!$O:$O)</f>
        <v>0</v>
      </c>
    </row>
    <row r="8" spans="1:13" ht="15" customHeight="1">
      <c r="A8" t="s">
        <v>13</v>
      </c>
      <c r="B8" t="s">
        <v>43</v>
      </c>
      <c r="C8" t="s">
        <v>44</v>
      </c>
      <c r="D8" t="s">
        <v>25</v>
      </c>
      <c r="E8" t="s">
        <v>29</v>
      </c>
      <c r="F8" t="s">
        <v>18</v>
      </c>
      <c r="H8" t="s">
        <v>19</v>
      </c>
      <c r="I8" t="s">
        <v>20</v>
      </c>
      <c r="J8" t="s">
        <v>21</v>
      </c>
      <c r="K8" t="s">
        <v>45</v>
      </c>
    </row>
    <row r="9" spans="1:13" ht="15" customHeight="1">
      <c r="A9" t="s">
        <v>46</v>
      </c>
      <c r="B9" t="s">
        <v>47</v>
      </c>
      <c r="C9" t="s">
        <v>48</v>
      </c>
      <c r="D9" t="s">
        <v>16</v>
      </c>
      <c r="E9" t="s">
        <v>17</v>
      </c>
      <c r="F9" t="s">
        <v>18</v>
      </c>
      <c r="G9" t="s">
        <v>23</v>
      </c>
      <c r="H9" t="s">
        <v>33</v>
      </c>
      <c r="I9" t="s">
        <v>20</v>
      </c>
      <c r="J9" t="s">
        <v>21</v>
      </c>
      <c r="K9" t="s">
        <v>49</v>
      </c>
      <c r="L9">
        <f>SUMIF('Besoins testables'!$D:$D,$A9,'Besoins testables'!$O:$O)</f>
        <v>0</v>
      </c>
    </row>
    <row r="10" spans="1:13" ht="15" customHeight="1">
      <c r="A10" t="s">
        <v>46</v>
      </c>
      <c r="B10" t="s">
        <v>50</v>
      </c>
      <c r="C10" t="s">
        <v>51</v>
      </c>
      <c r="D10" t="s">
        <v>16</v>
      </c>
      <c r="E10" t="s">
        <v>17</v>
      </c>
      <c r="F10" t="s">
        <v>18</v>
      </c>
      <c r="G10" t="s">
        <v>47</v>
      </c>
      <c r="H10" t="s">
        <v>33</v>
      </c>
      <c r="I10" t="s">
        <v>20</v>
      </c>
      <c r="J10" t="s">
        <v>21</v>
      </c>
      <c r="K10" t="s">
        <v>52</v>
      </c>
      <c r="L10">
        <f>SUMIF('Besoins testables'!$D:$D,$A10,'Besoins testables'!$O:$O)</f>
        <v>0</v>
      </c>
    </row>
    <row r="11" spans="1:13" ht="15" customHeight="1">
      <c r="A11" t="s">
        <v>46</v>
      </c>
      <c r="B11" t="s">
        <v>53</v>
      </c>
      <c r="C11" t="s">
        <v>54</v>
      </c>
      <c r="D11" t="s">
        <v>25</v>
      </c>
      <c r="E11" t="s">
        <v>17</v>
      </c>
      <c r="F11" t="s">
        <v>18</v>
      </c>
      <c r="G11" t="s">
        <v>50</v>
      </c>
      <c r="H11" t="s">
        <v>33</v>
      </c>
      <c r="I11" t="s">
        <v>20</v>
      </c>
      <c r="J11" t="s">
        <v>21</v>
      </c>
      <c r="K11" t="s">
        <v>55</v>
      </c>
    </row>
    <row r="12" spans="1:13" ht="15" customHeight="1">
      <c r="A12" t="s">
        <v>46</v>
      </c>
      <c r="B12" t="s">
        <v>56</v>
      </c>
      <c r="C12" t="s">
        <v>57</v>
      </c>
      <c r="D12" t="s">
        <v>16</v>
      </c>
      <c r="E12" t="s">
        <v>17</v>
      </c>
      <c r="F12" t="s">
        <v>18</v>
      </c>
      <c r="H12" t="s">
        <v>33</v>
      </c>
      <c r="I12" t="s">
        <v>20</v>
      </c>
      <c r="J12" t="s">
        <v>21</v>
      </c>
      <c r="K12" t="s">
        <v>58</v>
      </c>
      <c r="L12">
        <f>SUMIF('Besoins testables'!$D:$D,$A12,'Besoins testables'!$O:$O)</f>
        <v>0</v>
      </c>
    </row>
    <row r="13" spans="1:13" ht="15" customHeight="1">
      <c r="A13" t="s">
        <v>46</v>
      </c>
      <c r="B13" t="s">
        <v>59</v>
      </c>
      <c r="C13" t="s">
        <v>60</v>
      </c>
      <c r="D13" t="s">
        <v>25</v>
      </c>
      <c r="E13" t="s">
        <v>17</v>
      </c>
      <c r="F13" t="s">
        <v>18</v>
      </c>
      <c r="H13" t="s">
        <v>33</v>
      </c>
      <c r="I13" t="s">
        <v>20</v>
      </c>
      <c r="J13" t="s">
        <v>21</v>
      </c>
      <c r="K13" t="s">
        <v>61</v>
      </c>
    </row>
    <row r="14" spans="1:13" ht="15" customHeight="1">
      <c r="A14" t="s">
        <v>46</v>
      </c>
      <c r="B14" t="s">
        <v>62</v>
      </c>
      <c r="C14" t="s">
        <v>63</v>
      </c>
      <c r="D14" t="s">
        <v>25</v>
      </c>
      <c r="E14" t="s">
        <v>17</v>
      </c>
      <c r="F14" t="s">
        <v>18</v>
      </c>
      <c r="H14" t="s">
        <v>33</v>
      </c>
      <c r="I14" t="s">
        <v>20</v>
      </c>
      <c r="J14" t="s">
        <v>21</v>
      </c>
      <c r="K14" t="s">
        <v>64</v>
      </c>
    </row>
    <row r="15" spans="1:13" ht="15" customHeight="1">
      <c r="A15" t="s">
        <v>46</v>
      </c>
      <c r="B15" t="s">
        <v>65</v>
      </c>
      <c r="C15" t="s">
        <v>66</v>
      </c>
      <c r="D15" t="s">
        <v>16</v>
      </c>
      <c r="E15" t="s">
        <v>17</v>
      </c>
      <c r="F15" t="s">
        <v>18</v>
      </c>
      <c r="H15" t="s">
        <v>33</v>
      </c>
      <c r="I15" t="s">
        <v>20</v>
      </c>
      <c r="J15" t="s">
        <v>21</v>
      </c>
      <c r="K15" t="s">
        <v>67</v>
      </c>
      <c r="L15">
        <f>SUMIF('Besoins testables'!$D:$D,$A15,'Besoins testables'!$O:$O)</f>
        <v>0</v>
      </c>
    </row>
    <row r="16" spans="1:13" ht="15" customHeight="1">
      <c r="A16" t="s">
        <v>46</v>
      </c>
      <c r="B16" t="s">
        <v>68</v>
      </c>
      <c r="C16" t="s">
        <v>69</v>
      </c>
      <c r="D16" t="s">
        <v>25</v>
      </c>
      <c r="E16" t="s">
        <v>29</v>
      </c>
      <c r="F16" t="s">
        <v>18</v>
      </c>
      <c r="H16" t="s">
        <v>33</v>
      </c>
      <c r="I16" t="s">
        <v>20</v>
      </c>
      <c r="J16" t="s">
        <v>21</v>
      </c>
      <c r="K16" t="s">
        <v>70</v>
      </c>
    </row>
    <row r="17" spans="1:12" ht="15" customHeight="1">
      <c r="A17" t="s">
        <v>46</v>
      </c>
      <c r="B17" t="s">
        <v>71</v>
      </c>
      <c r="C17" t="s">
        <v>72</v>
      </c>
      <c r="D17" t="s">
        <v>25</v>
      </c>
      <c r="E17" t="s">
        <v>29</v>
      </c>
      <c r="F17" t="s">
        <v>18</v>
      </c>
      <c r="H17" t="s">
        <v>33</v>
      </c>
      <c r="I17" t="s">
        <v>20</v>
      </c>
      <c r="J17" t="s">
        <v>21</v>
      </c>
      <c r="K17" t="s">
        <v>73</v>
      </c>
    </row>
    <row r="18" spans="1:12" ht="15" customHeight="1">
      <c r="A18" t="s">
        <v>46</v>
      </c>
      <c r="B18" t="s">
        <v>74</v>
      </c>
      <c r="C18" t="s">
        <v>75</v>
      </c>
      <c r="D18" t="s">
        <v>16</v>
      </c>
      <c r="E18" t="s">
        <v>29</v>
      </c>
      <c r="F18" t="s">
        <v>18</v>
      </c>
      <c r="G18" t="s">
        <v>76</v>
      </c>
      <c r="H18" t="s">
        <v>19</v>
      </c>
      <c r="I18" t="s">
        <v>20</v>
      </c>
      <c r="J18" t="s">
        <v>21</v>
      </c>
      <c r="K18" t="s">
        <v>77</v>
      </c>
      <c r="L18">
        <f>SUMIF('Besoins testables'!$D:$D,$A18,'Besoins testables'!$O:$O)</f>
        <v>0</v>
      </c>
    </row>
    <row r="19" spans="1:12" ht="15" customHeight="1">
      <c r="A19" t="s">
        <v>46</v>
      </c>
      <c r="B19" t="s">
        <v>78</v>
      </c>
      <c r="C19" t="s">
        <v>79</v>
      </c>
      <c r="D19" t="s">
        <v>25</v>
      </c>
      <c r="E19" t="s">
        <v>29</v>
      </c>
      <c r="F19" t="s">
        <v>18</v>
      </c>
      <c r="G19" t="s">
        <v>68</v>
      </c>
      <c r="H19" t="s">
        <v>33</v>
      </c>
      <c r="I19" t="s">
        <v>20</v>
      </c>
      <c r="J19" t="s">
        <v>21</v>
      </c>
      <c r="K19" t="s">
        <v>80</v>
      </c>
    </row>
    <row r="20" spans="1:12" ht="15" customHeight="1">
      <c r="A20" t="s">
        <v>46</v>
      </c>
      <c r="B20" t="s">
        <v>81</v>
      </c>
      <c r="C20" t="s">
        <v>82</v>
      </c>
      <c r="D20" t="s">
        <v>16</v>
      </c>
      <c r="E20" t="s">
        <v>17</v>
      </c>
      <c r="F20" t="s">
        <v>18</v>
      </c>
      <c r="G20" t="s">
        <v>83</v>
      </c>
      <c r="H20" t="s">
        <v>33</v>
      </c>
      <c r="I20" t="s">
        <v>20</v>
      </c>
      <c r="J20" t="s">
        <v>21</v>
      </c>
      <c r="K20" t="s">
        <v>84</v>
      </c>
      <c r="L20">
        <f>SUMIF('Besoins testables'!$D:$D,$A20,'Besoins testables'!$O:$O)</f>
        <v>0</v>
      </c>
    </row>
    <row r="21" spans="1:12" ht="15" customHeight="1">
      <c r="A21" t="s">
        <v>46</v>
      </c>
      <c r="B21" t="s">
        <v>85</v>
      </c>
      <c r="C21" t="s">
        <v>86</v>
      </c>
      <c r="D21" t="s">
        <v>25</v>
      </c>
      <c r="E21" t="s">
        <v>17</v>
      </c>
      <c r="F21" t="s">
        <v>18</v>
      </c>
      <c r="H21" t="s">
        <v>33</v>
      </c>
      <c r="I21" t="s">
        <v>20</v>
      </c>
      <c r="J21" t="s">
        <v>21</v>
      </c>
      <c r="K21" t="s">
        <v>87</v>
      </c>
    </row>
    <row r="22" spans="1:12" ht="15" customHeight="1">
      <c r="A22" t="s">
        <v>46</v>
      </c>
      <c r="B22" t="s">
        <v>88</v>
      </c>
      <c r="C22" t="s">
        <v>89</v>
      </c>
      <c r="D22" t="s">
        <v>25</v>
      </c>
      <c r="E22" t="s">
        <v>29</v>
      </c>
      <c r="F22" t="s">
        <v>18</v>
      </c>
      <c r="H22" t="s">
        <v>33</v>
      </c>
      <c r="I22" t="s">
        <v>20</v>
      </c>
      <c r="J22" t="s">
        <v>21</v>
      </c>
      <c r="K22" t="s">
        <v>90</v>
      </c>
    </row>
    <row r="23" spans="1:12" ht="15" customHeight="1">
      <c r="A23" t="s">
        <v>46</v>
      </c>
      <c r="B23" t="s">
        <v>91</v>
      </c>
      <c r="C23" t="s">
        <v>92</v>
      </c>
      <c r="D23" t="s">
        <v>25</v>
      </c>
      <c r="E23" t="s">
        <v>29</v>
      </c>
      <c r="F23" t="s">
        <v>18</v>
      </c>
      <c r="H23" t="s">
        <v>33</v>
      </c>
      <c r="I23" t="s">
        <v>20</v>
      </c>
      <c r="J23" t="s">
        <v>21</v>
      </c>
      <c r="K23" t="s">
        <v>93</v>
      </c>
    </row>
    <row r="24" spans="1:12" ht="15" customHeight="1">
      <c r="A24" t="s">
        <v>94</v>
      </c>
      <c r="B24" t="s">
        <v>95</v>
      </c>
      <c r="C24" t="s">
        <v>96</v>
      </c>
      <c r="D24" t="s">
        <v>16</v>
      </c>
      <c r="E24" t="s">
        <v>29</v>
      </c>
      <c r="F24" t="s">
        <v>97</v>
      </c>
      <c r="H24" t="s">
        <v>98</v>
      </c>
      <c r="I24" t="s">
        <v>99</v>
      </c>
      <c r="J24" t="s">
        <v>21</v>
      </c>
      <c r="K24" t="s">
        <v>100</v>
      </c>
      <c r="L24">
        <f>SUMIF('Besoins testables'!$D:$D,$A24,'Besoins testables'!$O:$O)</f>
        <v>0</v>
      </c>
    </row>
    <row r="25" spans="1:12" ht="15" customHeight="1">
      <c r="A25" t="s">
        <v>94</v>
      </c>
      <c r="B25" t="s">
        <v>101</v>
      </c>
      <c r="C25" t="s">
        <v>102</v>
      </c>
      <c r="D25" t="s">
        <v>25</v>
      </c>
      <c r="E25" t="s">
        <v>29</v>
      </c>
      <c r="F25" t="s">
        <v>97</v>
      </c>
      <c r="H25" t="s">
        <v>98</v>
      </c>
      <c r="I25" t="s">
        <v>99</v>
      </c>
      <c r="J25" t="s">
        <v>21</v>
      </c>
      <c r="K25" t="s">
        <v>103</v>
      </c>
    </row>
    <row r="26" spans="1:12" ht="15" customHeight="1">
      <c r="A26" t="s">
        <v>94</v>
      </c>
      <c r="B26" t="s">
        <v>104</v>
      </c>
      <c r="C26" t="s">
        <v>105</v>
      </c>
      <c r="D26" t="s">
        <v>25</v>
      </c>
      <c r="E26" t="s">
        <v>29</v>
      </c>
      <c r="F26" t="s">
        <v>97</v>
      </c>
      <c r="H26" t="s">
        <v>98</v>
      </c>
      <c r="I26" t="s">
        <v>99</v>
      </c>
      <c r="J26" t="s">
        <v>21</v>
      </c>
      <c r="K26" t="s">
        <v>106</v>
      </c>
      <c r="L26">
        <f>SUMIF('Besoins testables'!$D:$D,$A26,'Besoins testables'!$O:$O)</f>
        <v>0</v>
      </c>
    </row>
    <row r="27" spans="1:12" ht="15" customHeight="1">
      <c r="A27" t="s">
        <v>94</v>
      </c>
      <c r="B27" t="s">
        <v>107</v>
      </c>
      <c r="C27" t="s">
        <v>108</v>
      </c>
      <c r="D27" t="s">
        <v>16</v>
      </c>
      <c r="E27" t="s">
        <v>29</v>
      </c>
      <c r="F27" t="s">
        <v>97</v>
      </c>
      <c r="H27" t="s">
        <v>98</v>
      </c>
      <c r="I27" t="s">
        <v>99</v>
      </c>
      <c r="J27" t="s">
        <v>21</v>
      </c>
      <c r="K27" t="s">
        <v>109</v>
      </c>
      <c r="L27">
        <f>SUMIF('Besoins testables'!$D:$D,$A27,'Besoins testables'!$O:$O)</f>
        <v>0</v>
      </c>
    </row>
    <row r="28" spans="1:12" ht="15" customHeight="1">
      <c r="A28" t="s">
        <v>94</v>
      </c>
      <c r="B28" t="s">
        <v>110</v>
      </c>
      <c r="C28" t="s">
        <v>111</v>
      </c>
      <c r="D28" t="s">
        <v>16</v>
      </c>
      <c r="E28" t="s">
        <v>29</v>
      </c>
      <c r="F28" t="s">
        <v>97</v>
      </c>
      <c r="H28" t="s">
        <v>98</v>
      </c>
      <c r="I28" t="s">
        <v>99</v>
      </c>
      <c r="J28" t="s">
        <v>21</v>
      </c>
      <c r="K28" t="s">
        <v>112</v>
      </c>
      <c r="L28">
        <f>SUMIF('Besoins testables'!$D:$D,$A28,'Besoins testables'!$O:$O)</f>
        <v>0</v>
      </c>
    </row>
    <row r="29" spans="1:12" ht="15" customHeight="1">
      <c r="A29" t="s">
        <v>94</v>
      </c>
      <c r="B29" t="s">
        <v>113</v>
      </c>
      <c r="C29" t="s">
        <v>114</v>
      </c>
      <c r="D29" t="s">
        <v>16</v>
      </c>
      <c r="E29" t="s">
        <v>17</v>
      </c>
      <c r="F29" t="s">
        <v>97</v>
      </c>
      <c r="H29" t="s">
        <v>98</v>
      </c>
      <c r="I29" t="s">
        <v>99</v>
      </c>
      <c r="J29" t="s">
        <v>21</v>
      </c>
      <c r="K29" t="s">
        <v>115</v>
      </c>
      <c r="L29">
        <f>SUMIF('Besoins testables'!$D:$D,$A29,'Besoins testables'!$O:$O)</f>
        <v>0</v>
      </c>
    </row>
    <row r="30" spans="1:12" ht="15" customHeight="1">
      <c r="A30" t="s">
        <v>94</v>
      </c>
      <c r="B30" t="s">
        <v>116</v>
      </c>
      <c r="C30" t="s">
        <v>117</v>
      </c>
      <c r="D30" t="s">
        <v>25</v>
      </c>
      <c r="E30" t="s">
        <v>17</v>
      </c>
      <c r="F30" t="s">
        <v>97</v>
      </c>
      <c r="H30" t="s">
        <v>98</v>
      </c>
      <c r="I30" t="s">
        <v>99</v>
      </c>
      <c r="J30" t="s">
        <v>21</v>
      </c>
      <c r="K30" t="s">
        <v>118</v>
      </c>
    </row>
    <row r="31" spans="1:12" ht="15" customHeight="1">
      <c r="A31" t="s">
        <v>119</v>
      </c>
      <c r="B31" t="s">
        <v>120</v>
      </c>
      <c r="C31" t="s">
        <v>121</v>
      </c>
      <c r="D31" t="s">
        <v>16</v>
      </c>
      <c r="E31" t="s">
        <v>17</v>
      </c>
      <c r="F31" t="s">
        <v>122</v>
      </c>
      <c r="H31" t="s">
        <v>33</v>
      </c>
      <c r="I31" t="s">
        <v>20</v>
      </c>
      <c r="J31" t="s">
        <v>21</v>
      </c>
      <c r="K31" t="s">
        <v>123</v>
      </c>
      <c r="L31">
        <f>SUMIF('Besoins testables'!$D:$D,$A31,'Besoins testables'!$O:$O)</f>
        <v>0</v>
      </c>
    </row>
    <row r="32" spans="1:12" ht="15" customHeight="1">
      <c r="A32" t="s">
        <v>119</v>
      </c>
      <c r="B32" t="s">
        <v>124</v>
      </c>
      <c r="C32" t="s">
        <v>125</v>
      </c>
      <c r="D32" t="s">
        <v>16</v>
      </c>
      <c r="E32" t="s">
        <v>17</v>
      </c>
      <c r="F32" t="s">
        <v>122</v>
      </c>
      <c r="H32" t="s">
        <v>33</v>
      </c>
      <c r="I32" t="s">
        <v>20</v>
      </c>
      <c r="J32" t="s">
        <v>21</v>
      </c>
      <c r="K32" t="s">
        <v>126</v>
      </c>
      <c r="L32">
        <f>SUMIF('Besoins testables'!$D:$D,$A32,'Besoins testables'!$O:$O)</f>
        <v>0</v>
      </c>
    </row>
    <row r="33" spans="1:12" ht="15" customHeight="1">
      <c r="A33" t="s">
        <v>119</v>
      </c>
      <c r="B33" t="s">
        <v>127</v>
      </c>
      <c r="C33" t="s">
        <v>128</v>
      </c>
      <c r="D33" t="s">
        <v>25</v>
      </c>
      <c r="E33" t="s">
        <v>17</v>
      </c>
      <c r="F33" t="s">
        <v>122</v>
      </c>
      <c r="H33" t="s">
        <v>33</v>
      </c>
      <c r="I33" t="s">
        <v>20</v>
      </c>
      <c r="J33" t="s">
        <v>21</v>
      </c>
      <c r="K33" t="s">
        <v>129</v>
      </c>
    </row>
    <row r="34" spans="1:12" ht="15" customHeight="1">
      <c r="A34" t="s">
        <v>119</v>
      </c>
      <c r="B34" t="s">
        <v>130</v>
      </c>
      <c r="C34" t="s">
        <v>131</v>
      </c>
      <c r="D34" t="s">
        <v>16</v>
      </c>
      <c r="E34" t="s">
        <v>17</v>
      </c>
      <c r="F34" t="s">
        <v>122</v>
      </c>
      <c r="H34" t="s">
        <v>33</v>
      </c>
      <c r="I34" t="s">
        <v>20</v>
      </c>
      <c r="J34" t="s">
        <v>21</v>
      </c>
      <c r="K34" t="s">
        <v>132</v>
      </c>
      <c r="L34">
        <f>SUMIF('Besoins testables'!$D:$D,$A34,'Besoins testables'!$O:$O)</f>
        <v>0</v>
      </c>
    </row>
    <row r="35" spans="1:12" ht="15" customHeight="1">
      <c r="A35" t="s">
        <v>119</v>
      </c>
      <c r="B35" t="s">
        <v>83</v>
      </c>
      <c r="C35" t="s">
        <v>133</v>
      </c>
      <c r="D35" t="s">
        <v>16</v>
      </c>
      <c r="E35" t="s">
        <v>17</v>
      </c>
      <c r="F35" t="s">
        <v>122</v>
      </c>
      <c r="H35" t="s">
        <v>33</v>
      </c>
      <c r="I35" t="s">
        <v>20</v>
      </c>
      <c r="J35" t="s">
        <v>21</v>
      </c>
      <c r="K35" t="s">
        <v>134</v>
      </c>
      <c r="L35">
        <f>SUMIF('Besoins testables'!$D:$D,$A35,'Besoins testables'!$O:$O)</f>
        <v>0</v>
      </c>
    </row>
    <row r="36" spans="1:12" ht="15" customHeight="1">
      <c r="A36" t="s">
        <v>119</v>
      </c>
      <c r="B36" t="s">
        <v>135</v>
      </c>
      <c r="C36" t="s">
        <v>136</v>
      </c>
      <c r="D36" t="s">
        <v>25</v>
      </c>
      <c r="E36" t="s">
        <v>17</v>
      </c>
      <c r="F36" t="s">
        <v>122</v>
      </c>
      <c r="H36" t="s">
        <v>40</v>
      </c>
      <c r="I36" t="s">
        <v>41</v>
      </c>
      <c r="J36" t="s">
        <v>137</v>
      </c>
      <c r="K36" t="s">
        <v>138</v>
      </c>
    </row>
    <row r="37" spans="1:12" ht="15" customHeight="1">
      <c r="A37" t="s">
        <v>119</v>
      </c>
      <c r="B37" t="s">
        <v>139</v>
      </c>
      <c r="C37" t="s">
        <v>140</v>
      </c>
      <c r="D37" t="s">
        <v>25</v>
      </c>
      <c r="E37" t="s">
        <v>29</v>
      </c>
      <c r="F37" t="s">
        <v>122</v>
      </c>
      <c r="H37" t="s">
        <v>33</v>
      </c>
      <c r="I37" t="s">
        <v>20</v>
      </c>
      <c r="J37" t="s">
        <v>21</v>
      </c>
      <c r="K37" t="s">
        <v>141</v>
      </c>
    </row>
    <row r="38" spans="1:12" ht="15" customHeight="1">
      <c r="A38" t="s">
        <v>142</v>
      </c>
      <c r="B38" t="s">
        <v>143</v>
      </c>
      <c r="C38" t="s">
        <v>144</v>
      </c>
      <c r="D38" t="s">
        <v>16</v>
      </c>
      <c r="E38" t="s">
        <v>29</v>
      </c>
      <c r="F38" t="s">
        <v>18</v>
      </c>
      <c r="G38" t="s">
        <v>145</v>
      </c>
      <c r="H38" t="s">
        <v>146</v>
      </c>
      <c r="I38" t="s">
        <v>147</v>
      </c>
      <c r="J38" t="s">
        <v>21</v>
      </c>
      <c r="K38" t="s">
        <v>148</v>
      </c>
      <c r="L38">
        <f>SUMIF('Besoins testables'!$D:$D,$A38,'Besoins testables'!$O:$O)</f>
        <v>0</v>
      </c>
    </row>
    <row r="39" spans="1:12" ht="15" customHeight="1">
      <c r="A39" t="s">
        <v>142</v>
      </c>
      <c r="B39" t="s">
        <v>149</v>
      </c>
      <c r="C39" t="s">
        <v>150</v>
      </c>
      <c r="D39" t="s">
        <v>16</v>
      </c>
      <c r="E39" t="s">
        <v>29</v>
      </c>
      <c r="F39" t="s">
        <v>18</v>
      </c>
      <c r="G39" t="s">
        <v>151</v>
      </c>
      <c r="H39" t="s">
        <v>146</v>
      </c>
      <c r="I39" t="s">
        <v>147</v>
      </c>
      <c r="J39" t="s">
        <v>21</v>
      </c>
      <c r="K39" t="s">
        <v>152</v>
      </c>
      <c r="L39">
        <f>SUMIF('Besoins testables'!$D:$D,$A39,'Besoins testables'!$O:$O)</f>
        <v>0</v>
      </c>
    </row>
    <row r="40" spans="1:12" ht="15" customHeight="1">
      <c r="A40" t="s">
        <v>142</v>
      </c>
      <c r="B40" t="s">
        <v>153</v>
      </c>
      <c r="C40" t="s">
        <v>154</v>
      </c>
      <c r="D40" t="s">
        <v>16</v>
      </c>
      <c r="E40" t="s">
        <v>29</v>
      </c>
      <c r="F40" t="s">
        <v>18</v>
      </c>
      <c r="G40" t="s">
        <v>155</v>
      </c>
      <c r="H40" t="s">
        <v>146</v>
      </c>
      <c r="I40" t="s">
        <v>147</v>
      </c>
      <c r="J40" t="s">
        <v>21</v>
      </c>
      <c r="K40" t="s">
        <v>156</v>
      </c>
      <c r="L40">
        <f>SUMIF('Besoins testables'!$D:$D,$A40,'Besoins testables'!$O:$O)</f>
        <v>0</v>
      </c>
    </row>
    <row r="41" spans="1:12" ht="15" customHeight="1">
      <c r="A41" t="s">
        <v>142</v>
      </c>
      <c r="B41" t="s">
        <v>157</v>
      </c>
      <c r="C41" t="s">
        <v>158</v>
      </c>
      <c r="D41" t="s">
        <v>25</v>
      </c>
      <c r="E41" t="s">
        <v>29</v>
      </c>
      <c r="F41" t="s">
        <v>18</v>
      </c>
      <c r="H41" t="s">
        <v>146</v>
      </c>
      <c r="I41" t="s">
        <v>147</v>
      </c>
      <c r="J41" t="s">
        <v>21</v>
      </c>
      <c r="K41" t="s">
        <v>159</v>
      </c>
    </row>
    <row r="42" spans="1:12" ht="15" customHeight="1">
      <c r="A42" t="s">
        <v>142</v>
      </c>
      <c r="B42" t="s">
        <v>160</v>
      </c>
      <c r="C42" t="s">
        <v>161</v>
      </c>
      <c r="D42" t="s">
        <v>16</v>
      </c>
      <c r="E42" t="s">
        <v>17</v>
      </c>
      <c r="F42" t="s">
        <v>18</v>
      </c>
      <c r="H42" t="s">
        <v>146</v>
      </c>
      <c r="I42" t="s">
        <v>147</v>
      </c>
      <c r="J42" t="s">
        <v>21</v>
      </c>
      <c r="K42" t="s">
        <v>162</v>
      </c>
      <c r="L42">
        <f>SUMIF('Besoins testables'!$D:$D,$A42,'Besoins testables'!$O:$O)</f>
        <v>0</v>
      </c>
    </row>
    <row r="43" spans="1:12" ht="15" customHeight="1">
      <c r="A43" t="s">
        <v>142</v>
      </c>
      <c r="B43" t="s">
        <v>163</v>
      </c>
      <c r="C43" t="s">
        <v>164</v>
      </c>
      <c r="D43" t="s">
        <v>25</v>
      </c>
      <c r="E43" t="s">
        <v>29</v>
      </c>
      <c r="F43" t="s">
        <v>18</v>
      </c>
      <c r="H43" t="s">
        <v>146</v>
      </c>
      <c r="I43" t="s">
        <v>147</v>
      </c>
      <c r="J43" t="s">
        <v>21</v>
      </c>
      <c r="K43" t="s">
        <v>165</v>
      </c>
    </row>
    <row r="44" spans="1:12" ht="15" customHeight="1">
      <c r="A44" t="s">
        <v>142</v>
      </c>
      <c r="B44" t="s">
        <v>166</v>
      </c>
      <c r="C44" t="s">
        <v>167</v>
      </c>
      <c r="D44" t="s">
        <v>25</v>
      </c>
      <c r="E44" t="s">
        <v>29</v>
      </c>
      <c r="F44" t="s">
        <v>18</v>
      </c>
      <c r="G44" t="s">
        <v>143</v>
      </c>
      <c r="H44" t="s">
        <v>146</v>
      </c>
      <c r="I44" t="s">
        <v>147</v>
      </c>
      <c r="J44" t="s">
        <v>21</v>
      </c>
      <c r="K44" t="s">
        <v>168</v>
      </c>
    </row>
    <row r="45" spans="1:12" ht="15" customHeight="1">
      <c r="A45" t="s">
        <v>169</v>
      </c>
      <c r="B45" t="s">
        <v>170</v>
      </c>
      <c r="C45" t="s">
        <v>171</v>
      </c>
      <c r="D45" t="s">
        <v>25</v>
      </c>
      <c r="E45" t="s">
        <v>17</v>
      </c>
      <c r="F45" t="s">
        <v>172</v>
      </c>
      <c r="G45" t="s">
        <v>143</v>
      </c>
      <c r="H45" t="s">
        <v>146</v>
      </c>
      <c r="I45" t="s">
        <v>147</v>
      </c>
      <c r="J45" t="s">
        <v>21</v>
      </c>
      <c r="K45" t="s">
        <v>173</v>
      </c>
    </row>
    <row r="46" spans="1:12" ht="15" customHeight="1">
      <c r="A46" t="s">
        <v>169</v>
      </c>
      <c r="B46" t="s">
        <v>174</v>
      </c>
      <c r="C46" t="s">
        <v>175</v>
      </c>
      <c r="D46" t="s">
        <v>25</v>
      </c>
      <c r="E46" t="s">
        <v>17</v>
      </c>
      <c r="F46" t="s">
        <v>172</v>
      </c>
      <c r="G46" t="s">
        <v>170</v>
      </c>
      <c r="H46" t="s">
        <v>146</v>
      </c>
      <c r="I46" t="s">
        <v>147</v>
      </c>
      <c r="J46" t="s">
        <v>176</v>
      </c>
      <c r="K46" t="s">
        <v>177</v>
      </c>
    </row>
    <row r="47" spans="1:12" ht="15" customHeight="1">
      <c r="A47" t="s">
        <v>169</v>
      </c>
      <c r="B47" t="s">
        <v>178</v>
      </c>
      <c r="C47" t="s">
        <v>179</v>
      </c>
      <c r="D47" t="s">
        <v>25</v>
      </c>
      <c r="E47" t="s">
        <v>17</v>
      </c>
      <c r="F47" t="s">
        <v>172</v>
      </c>
      <c r="G47" t="s">
        <v>180</v>
      </c>
      <c r="H47" t="s">
        <v>146</v>
      </c>
      <c r="I47" t="s">
        <v>147</v>
      </c>
      <c r="J47" t="s">
        <v>176</v>
      </c>
      <c r="K47" t="s">
        <v>181</v>
      </c>
    </row>
    <row r="48" spans="1:12" ht="15" customHeight="1">
      <c r="A48" t="s">
        <v>169</v>
      </c>
      <c r="B48" t="s">
        <v>182</v>
      </c>
      <c r="C48" t="s">
        <v>183</v>
      </c>
      <c r="D48" t="s">
        <v>25</v>
      </c>
      <c r="E48" t="s">
        <v>17</v>
      </c>
      <c r="F48" t="s">
        <v>172</v>
      </c>
      <c r="G48" t="s">
        <v>184</v>
      </c>
      <c r="H48" t="s">
        <v>146</v>
      </c>
      <c r="I48" t="s">
        <v>147</v>
      </c>
      <c r="J48" t="s">
        <v>176</v>
      </c>
      <c r="K48" t="s">
        <v>185</v>
      </c>
    </row>
    <row r="49" spans="1:12" ht="15" customHeight="1">
      <c r="A49" t="s">
        <v>169</v>
      </c>
      <c r="B49" t="s">
        <v>186</v>
      </c>
      <c r="C49" t="s">
        <v>187</v>
      </c>
      <c r="D49" t="s">
        <v>25</v>
      </c>
      <c r="E49" t="s">
        <v>17</v>
      </c>
      <c r="F49" t="s">
        <v>172</v>
      </c>
      <c r="G49" t="s">
        <v>188</v>
      </c>
      <c r="H49" t="s">
        <v>146</v>
      </c>
      <c r="I49" t="s">
        <v>147</v>
      </c>
      <c r="J49" t="s">
        <v>176</v>
      </c>
      <c r="K49" t="s">
        <v>189</v>
      </c>
    </row>
    <row r="50" spans="1:12" ht="15" customHeight="1">
      <c r="A50" t="s">
        <v>169</v>
      </c>
      <c r="B50" t="s">
        <v>190</v>
      </c>
      <c r="C50" t="s">
        <v>191</v>
      </c>
      <c r="D50" t="s">
        <v>25</v>
      </c>
      <c r="E50" t="s">
        <v>29</v>
      </c>
      <c r="F50" t="s">
        <v>172</v>
      </c>
      <c r="H50" t="s">
        <v>146</v>
      </c>
      <c r="I50" t="s">
        <v>147</v>
      </c>
      <c r="J50" t="s">
        <v>21</v>
      </c>
      <c r="K50" t="s">
        <v>192</v>
      </c>
    </row>
    <row r="51" spans="1:12" ht="15" customHeight="1">
      <c r="A51" t="s">
        <v>193</v>
      </c>
      <c r="B51" t="s">
        <v>194</v>
      </c>
      <c r="C51" t="s">
        <v>195</v>
      </c>
      <c r="D51" t="s">
        <v>16</v>
      </c>
      <c r="E51" t="s">
        <v>17</v>
      </c>
      <c r="F51" t="s">
        <v>196</v>
      </c>
      <c r="H51" t="s">
        <v>197</v>
      </c>
      <c r="I51" t="s">
        <v>198</v>
      </c>
      <c r="J51" t="s">
        <v>199</v>
      </c>
      <c r="K51" t="s">
        <v>200</v>
      </c>
      <c r="L51">
        <f>SUMIF('Besoins testables'!$D:$D,$A51,'Besoins testables'!$O:$O)</f>
        <v>0</v>
      </c>
    </row>
    <row r="52" spans="1:12" ht="15" customHeight="1">
      <c r="A52" t="s">
        <v>193</v>
      </c>
      <c r="B52" t="s">
        <v>201</v>
      </c>
      <c r="C52" t="s">
        <v>202</v>
      </c>
      <c r="D52" t="s">
        <v>16</v>
      </c>
      <c r="E52" t="s">
        <v>17</v>
      </c>
      <c r="F52" t="s">
        <v>196</v>
      </c>
      <c r="G52" t="s">
        <v>83</v>
      </c>
      <c r="H52" t="s">
        <v>197</v>
      </c>
      <c r="I52" t="s">
        <v>198</v>
      </c>
      <c r="J52" t="s">
        <v>199</v>
      </c>
      <c r="K52" t="s">
        <v>203</v>
      </c>
      <c r="L52">
        <f>SUMIF('Besoins testables'!$D:$D,$A52,'Besoins testables'!$O:$O)</f>
        <v>0</v>
      </c>
    </row>
    <row r="53" spans="1:12" ht="15" customHeight="1">
      <c r="A53" t="s">
        <v>193</v>
      </c>
      <c r="B53" t="s">
        <v>204</v>
      </c>
      <c r="C53" t="s">
        <v>205</v>
      </c>
      <c r="D53" t="s">
        <v>16</v>
      </c>
      <c r="E53" t="s">
        <v>17</v>
      </c>
      <c r="F53" t="s">
        <v>196</v>
      </c>
      <c r="H53" t="s">
        <v>197</v>
      </c>
      <c r="I53" t="s">
        <v>198</v>
      </c>
      <c r="J53" t="s">
        <v>199</v>
      </c>
      <c r="K53" t="s">
        <v>206</v>
      </c>
      <c r="L53">
        <f>SUMIF('Besoins testables'!$D:$D,$A53,'Besoins testables'!$O:$O)</f>
        <v>0</v>
      </c>
    </row>
    <row r="54" spans="1:12" ht="15" customHeight="1">
      <c r="A54" t="s">
        <v>193</v>
      </c>
      <c r="B54" t="s">
        <v>207</v>
      </c>
      <c r="C54" t="s">
        <v>208</v>
      </c>
      <c r="D54" t="s">
        <v>16</v>
      </c>
      <c r="E54" t="s">
        <v>17</v>
      </c>
      <c r="F54" t="s">
        <v>209</v>
      </c>
      <c r="G54" t="s">
        <v>210</v>
      </c>
      <c r="H54" t="s">
        <v>197</v>
      </c>
      <c r="I54" t="s">
        <v>198</v>
      </c>
      <c r="J54" t="s">
        <v>176</v>
      </c>
      <c r="K54" t="s">
        <v>211</v>
      </c>
      <c r="L54">
        <f>SUMIF('Besoins testables'!$D:$D,$A54,'Besoins testables'!$O:$O)</f>
        <v>0</v>
      </c>
    </row>
    <row r="55" spans="1:12" ht="15" customHeight="1">
      <c r="A55" t="s">
        <v>193</v>
      </c>
      <c r="B55" t="s">
        <v>212</v>
      </c>
      <c r="C55" t="s">
        <v>213</v>
      </c>
      <c r="D55" t="s">
        <v>25</v>
      </c>
      <c r="E55" t="s">
        <v>17</v>
      </c>
      <c r="F55" t="s">
        <v>209</v>
      </c>
      <c r="H55" t="s">
        <v>197</v>
      </c>
      <c r="I55" t="s">
        <v>198</v>
      </c>
      <c r="J55" t="s">
        <v>214</v>
      </c>
      <c r="K55" t="s">
        <v>215</v>
      </c>
    </row>
    <row r="56" spans="1:12" ht="15" customHeight="1">
      <c r="A56" t="s">
        <v>193</v>
      </c>
      <c r="B56" t="s">
        <v>216</v>
      </c>
      <c r="C56" t="s">
        <v>217</v>
      </c>
      <c r="D56" t="s">
        <v>25</v>
      </c>
      <c r="E56" t="s">
        <v>17</v>
      </c>
      <c r="F56" t="s">
        <v>209</v>
      </c>
      <c r="H56" t="s">
        <v>197</v>
      </c>
      <c r="I56" t="s">
        <v>198</v>
      </c>
      <c r="J56" t="s">
        <v>214</v>
      </c>
      <c r="K56" t="s">
        <v>218</v>
      </c>
    </row>
    <row r="57" spans="1:12" ht="15" customHeight="1">
      <c r="A57" t="s">
        <v>193</v>
      </c>
      <c r="B57" t="s">
        <v>210</v>
      </c>
      <c r="C57" t="s">
        <v>219</v>
      </c>
      <c r="D57" t="s">
        <v>16</v>
      </c>
      <c r="E57" t="s">
        <v>17</v>
      </c>
      <c r="F57" t="s">
        <v>220</v>
      </c>
      <c r="H57" t="s">
        <v>197</v>
      </c>
      <c r="I57" t="s">
        <v>198</v>
      </c>
      <c r="J57" t="s">
        <v>214</v>
      </c>
      <c r="K57" t="s">
        <v>221</v>
      </c>
      <c r="L57">
        <f>SUMIF('Besoins testables'!$D:$D,$A57,'Besoins testables'!$O:$O)</f>
        <v>0</v>
      </c>
    </row>
    <row r="58" spans="1:12" ht="15" customHeight="1">
      <c r="A58" t="s">
        <v>193</v>
      </c>
      <c r="B58" t="s">
        <v>222</v>
      </c>
      <c r="C58" t="s">
        <v>223</v>
      </c>
      <c r="D58" t="s">
        <v>16</v>
      </c>
      <c r="E58" t="s">
        <v>17</v>
      </c>
      <c r="F58" t="s">
        <v>196</v>
      </c>
      <c r="G58" t="s">
        <v>224</v>
      </c>
      <c r="H58" t="s">
        <v>197</v>
      </c>
      <c r="I58" t="s">
        <v>198</v>
      </c>
      <c r="J58" t="s">
        <v>21</v>
      </c>
      <c r="K58" t="s">
        <v>225</v>
      </c>
      <c r="L58">
        <f>SUMIF('Besoins testables'!$D:$D,$A58,'Besoins testables'!$O:$O)</f>
        <v>0</v>
      </c>
    </row>
    <row r="59" spans="1:12" ht="15" customHeight="1">
      <c r="A59" t="s">
        <v>193</v>
      </c>
      <c r="B59" t="s">
        <v>226</v>
      </c>
      <c r="C59" t="s">
        <v>227</v>
      </c>
      <c r="D59" t="s">
        <v>16</v>
      </c>
      <c r="E59" t="s">
        <v>17</v>
      </c>
      <c r="F59" t="s">
        <v>228</v>
      </c>
      <c r="H59" t="s">
        <v>197</v>
      </c>
      <c r="I59" t="s">
        <v>198</v>
      </c>
      <c r="J59" t="s">
        <v>199</v>
      </c>
      <c r="K59" t="s">
        <v>229</v>
      </c>
      <c r="L59">
        <f>SUMIF('Besoins testables'!$D:$D,$A59,'Besoins testables'!$O:$O)</f>
        <v>0</v>
      </c>
    </row>
    <row r="60" spans="1:12" ht="15" customHeight="1">
      <c r="A60" t="s">
        <v>193</v>
      </c>
      <c r="B60" t="s">
        <v>230</v>
      </c>
      <c r="C60" t="s">
        <v>231</v>
      </c>
      <c r="D60" t="s">
        <v>16</v>
      </c>
      <c r="E60" t="s">
        <v>17</v>
      </c>
      <c r="F60" t="s">
        <v>232</v>
      </c>
      <c r="H60" t="s">
        <v>197</v>
      </c>
      <c r="I60" t="s">
        <v>198</v>
      </c>
      <c r="J60" t="s">
        <v>199</v>
      </c>
      <c r="K60" t="s">
        <v>233</v>
      </c>
      <c r="L60">
        <f>SUMIF('Besoins testables'!$D:$D,$A60,'Besoins testables'!$O:$O)</f>
        <v>0</v>
      </c>
    </row>
    <row r="61" spans="1:12" ht="15" customHeight="1">
      <c r="A61" t="s">
        <v>193</v>
      </c>
      <c r="B61" t="s">
        <v>234</v>
      </c>
      <c r="C61" t="s">
        <v>235</v>
      </c>
      <c r="D61" t="s">
        <v>16</v>
      </c>
      <c r="E61" t="s">
        <v>17</v>
      </c>
      <c r="F61" t="s">
        <v>232</v>
      </c>
      <c r="H61" t="s">
        <v>197</v>
      </c>
      <c r="I61" t="s">
        <v>198</v>
      </c>
      <c r="J61" t="s">
        <v>199</v>
      </c>
      <c r="K61" t="s">
        <v>236</v>
      </c>
      <c r="L61">
        <f>SUMIF('Besoins testables'!$D:$D,$A61,'Besoins testables'!$O:$O)</f>
        <v>0</v>
      </c>
    </row>
    <row r="62" spans="1:12" ht="15" customHeight="1">
      <c r="A62" t="s">
        <v>193</v>
      </c>
      <c r="B62" t="s">
        <v>237</v>
      </c>
      <c r="C62" t="s">
        <v>238</v>
      </c>
      <c r="D62" t="s">
        <v>16</v>
      </c>
      <c r="E62" t="s">
        <v>17</v>
      </c>
      <c r="F62" t="s">
        <v>228</v>
      </c>
      <c r="H62" t="s">
        <v>197</v>
      </c>
      <c r="I62" t="s">
        <v>198</v>
      </c>
      <c r="J62" t="s">
        <v>199</v>
      </c>
      <c r="K62" t="s">
        <v>239</v>
      </c>
      <c r="L62">
        <f>SUMIF('Besoins testables'!$D:$D,$A62,'Besoins testables'!$O:$O)</f>
        <v>0</v>
      </c>
    </row>
    <row r="63" spans="1:12" ht="15" customHeight="1">
      <c r="A63" t="s">
        <v>193</v>
      </c>
      <c r="B63" t="s">
        <v>240</v>
      </c>
      <c r="C63" t="s">
        <v>241</v>
      </c>
      <c r="D63" t="s">
        <v>16</v>
      </c>
      <c r="E63" t="s">
        <v>17</v>
      </c>
      <c r="F63" t="s">
        <v>232</v>
      </c>
      <c r="H63" t="s">
        <v>197</v>
      </c>
      <c r="I63" t="s">
        <v>198</v>
      </c>
      <c r="J63" t="s">
        <v>199</v>
      </c>
      <c r="K63" t="s">
        <v>242</v>
      </c>
      <c r="L63">
        <f>SUMIF('Besoins testables'!$D:$D,$A63,'Besoins testables'!$O:$O)</f>
        <v>0</v>
      </c>
    </row>
    <row r="64" spans="1:12" ht="15" customHeight="1">
      <c r="A64" t="s">
        <v>193</v>
      </c>
      <c r="B64" t="s">
        <v>243</v>
      </c>
      <c r="C64" t="s">
        <v>244</v>
      </c>
      <c r="D64" t="s">
        <v>16</v>
      </c>
      <c r="E64" t="s">
        <v>17</v>
      </c>
      <c r="F64" t="s">
        <v>228</v>
      </c>
      <c r="H64" t="s">
        <v>197</v>
      </c>
      <c r="I64" t="s">
        <v>198</v>
      </c>
      <c r="J64" t="s">
        <v>199</v>
      </c>
      <c r="K64" t="s">
        <v>245</v>
      </c>
      <c r="L64">
        <f>SUMIF('Besoins testables'!$D:$D,$A64,'Besoins testables'!$O:$O)</f>
        <v>0</v>
      </c>
    </row>
    <row r="65" spans="1:12" ht="15" customHeight="1">
      <c r="A65" t="s">
        <v>193</v>
      </c>
      <c r="B65" t="s">
        <v>246</v>
      </c>
      <c r="C65" t="s">
        <v>247</v>
      </c>
      <c r="D65" t="s">
        <v>16</v>
      </c>
      <c r="E65" t="s">
        <v>17</v>
      </c>
      <c r="F65" t="s">
        <v>232</v>
      </c>
      <c r="H65" t="s">
        <v>197</v>
      </c>
      <c r="I65" t="s">
        <v>198</v>
      </c>
      <c r="J65" t="s">
        <v>199</v>
      </c>
      <c r="K65" t="s">
        <v>248</v>
      </c>
      <c r="L65">
        <f>SUMIF('Besoins testables'!$D:$D,$A65,'Besoins testables'!$O:$O)</f>
        <v>0</v>
      </c>
    </row>
    <row r="66" spans="1:12" ht="15" customHeight="1">
      <c r="A66" t="s">
        <v>193</v>
      </c>
      <c r="B66" t="s">
        <v>249</v>
      </c>
      <c r="C66" t="s">
        <v>250</v>
      </c>
      <c r="D66" t="s">
        <v>16</v>
      </c>
      <c r="E66" t="s">
        <v>17</v>
      </c>
      <c r="F66" t="s">
        <v>232</v>
      </c>
      <c r="H66" t="s">
        <v>197</v>
      </c>
      <c r="I66" t="s">
        <v>198</v>
      </c>
      <c r="J66" t="s">
        <v>21</v>
      </c>
      <c r="K66" t="s">
        <v>251</v>
      </c>
      <c r="L66">
        <f>SUMIF('Besoins testables'!$D:$D,$A66,'Besoins testables'!$O:$O)</f>
        <v>0</v>
      </c>
    </row>
    <row r="67" spans="1:12" ht="15" customHeight="1">
      <c r="A67" t="s">
        <v>193</v>
      </c>
      <c r="B67" t="s">
        <v>252</v>
      </c>
      <c r="C67" t="s">
        <v>253</v>
      </c>
      <c r="D67" t="s">
        <v>16</v>
      </c>
      <c r="E67" t="s">
        <v>17</v>
      </c>
      <c r="F67" t="s">
        <v>232</v>
      </c>
      <c r="H67" t="s">
        <v>197</v>
      </c>
      <c r="I67" t="s">
        <v>198</v>
      </c>
      <c r="J67" t="s">
        <v>199</v>
      </c>
      <c r="K67" t="s">
        <v>254</v>
      </c>
      <c r="L67">
        <f>SUMIF('Besoins testables'!$D:$D,$A67,'Besoins testables'!$O:$O)</f>
        <v>0</v>
      </c>
    </row>
    <row r="68" spans="1:12" ht="15" customHeight="1">
      <c r="A68" t="s">
        <v>193</v>
      </c>
      <c r="B68" t="s">
        <v>255</v>
      </c>
      <c r="C68" t="s">
        <v>256</v>
      </c>
      <c r="D68" t="s">
        <v>16</v>
      </c>
      <c r="E68" t="s">
        <v>29</v>
      </c>
      <c r="F68" t="s">
        <v>232</v>
      </c>
      <c r="G68" t="s">
        <v>224</v>
      </c>
      <c r="H68" t="s">
        <v>197</v>
      </c>
      <c r="I68" t="s">
        <v>198</v>
      </c>
      <c r="J68" t="s">
        <v>21</v>
      </c>
      <c r="K68" t="s">
        <v>257</v>
      </c>
      <c r="L68">
        <f>SUMIF('Besoins testables'!$D:$D,$A68,'Besoins testables'!$O:$O)</f>
        <v>0</v>
      </c>
    </row>
    <row r="69" spans="1:12" ht="15" customHeight="1">
      <c r="A69" t="s">
        <v>193</v>
      </c>
      <c r="B69" t="s">
        <v>258</v>
      </c>
      <c r="C69" t="s">
        <v>259</v>
      </c>
      <c r="D69" t="s">
        <v>16</v>
      </c>
      <c r="E69" t="s">
        <v>17</v>
      </c>
      <c r="F69" t="s">
        <v>196</v>
      </c>
      <c r="G69" t="s">
        <v>224</v>
      </c>
      <c r="H69" t="s">
        <v>197</v>
      </c>
      <c r="I69" t="s">
        <v>198</v>
      </c>
      <c r="J69" t="s">
        <v>21</v>
      </c>
      <c r="K69" t="s">
        <v>260</v>
      </c>
      <c r="L69">
        <f>SUMIF('Besoins testables'!$D:$D,$A69,'Besoins testables'!$O:$O)</f>
        <v>0</v>
      </c>
    </row>
    <row r="70" spans="1:12" ht="15" customHeight="1">
      <c r="A70" t="s">
        <v>193</v>
      </c>
      <c r="B70" t="s">
        <v>261</v>
      </c>
      <c r="C70" t="s">
        <v>262</v>
      </c>
      <c r="D70" t="s">
        <v>16</v>
      </c>
      <c r="E70" t="s">
        <v>17</v>
      </c>
      <c r="F70" t="s">
        <v>196</v>
      </c>
      <c r="H70" t="s">
        <v>197</v>
      </c>
      <c r="I70" t="s">
        <v>198</v>
      </c>
      <c r="J70" t="s">
        <v>199</v>
      </c>
      <c r="K70" t="s">
        <v>263</v>
      </c>
      <c r="L70">
        <f>SUMIF('Besoins testables'!$D:$D,$A70,'Besoins testables'!$O:$O)</f>
        <v>0</v>
      </c>
    </row>
    <row r="71" spans="1:12" ht="15" customHeight="1">
      <c r="A71" t="s">
        <v>193</v>
      </c>
      <c r="B71" t="s">
        <v>264</v>
      </c>
      <c r="C71" t="s">
        <v>265</v>
      </c>
      <c r="D71" t="s">
        <v>16</v>
      </c>
      <c r="E71" t="s">
        <v>17</v>
      </c>
      <c r="F71" t="s">
        <v>196</v>
      </c>
      <c r="H71" t="s">
        <v>197</v>
      </c>
      <c r="I71" t="s">
        <v>198</v>
      </c>
      <c r="J71" t="s">
        <v>176</v>
      </c>
      <c r="K71" t="s">
        <v>266</v>
      </c>
      <c r="L71" t="s">
        <v>267</v>
      </c>
    </row>
    <row r="72" spans="1:12" ht="15" customHeight="1">
      <c r="A72" t="s">
        <v>193</v>
      </c>
      <c r="B72" t="s">
        <v>268</v>
      </c>
      <c r="C72" t="s">
        <v>269</v>
      </c>
      <c r="D72" t="s">
        <v>16</v>
      </c>
      <c r="E72" t="s">
        <v>17</v>
      </c>
      <c r="F72" t="s">
        <v>270</v>
      </c>
      <c r="H72" t="s">
        <v>197</v>
      </c>
      <c r="I72" t="s">
        <v>198</v>
      </c>
      <c r="J72" t="s">
        <v>199</v>
      </c>
      <c r="K72" t="s">
        <v>271</v>
      </c>
      <c r="L72">
        <f>SUMIF('Besoins testables'!$D:$D,$A72,'Besoins testables'!$O:$O)</f>
        <v>0</v>
      </c>
    </row>
    <row r="73" spans="1:12" ht="15" customHeight="1">
      <c r="A73" t="s">
        <v>193</v>
      </c>
      <c r="B73" t="s">
        <v>272</v>
      </c>
      <c r="C73" t="s">
        <v>273</v>
      </c>
      <c r="D73" t="s">
        <v>16</v>
      </c>
      <c r="E73" t="s">
        <v>17</v>
      </c>
      <c r="F73" t="s">
        <v>270</v>
      </c>
      <c r="H73" t="s">
        <v>197</v>
      </c>
      <c r="I73" t="s">
        <v>198</v>
      </c>
      <c r="J73" t="s">
        <v>21</v>
      </c>
      <c r="K73" t="s">
        <v>274</v>
      </c>
      <c r="L73">
        <f>SUMIF('Besoins testables'!$D:$D,$A73,'Besoins testables'!$O:$O)</f>
        <v>0</v>
      </c>
    </row>
    <row r="74" spans="1:12" ht="15" customHeight="1">
      <c r="A74" t="s">
        <v>193</v>
      </c>
      <c r="B74" t="s">
        <v>275</v>
      </c>
      <c r="C74" t="s">
        <v>276</v>
      </c>
      <c r="D74" t="s">
        <v>16</v>
      </c>
      <c r="E74" t="s">
        <v>17</v>
      </c>
      <c r="F74" t="s">
        <v>209</v>
      </c>
      <c r="H74" t="s">
        <v>197</v>
      </c>
      <c r="I74" t="s">
        <v>198</v>
      </c>
      <c r="J74" t="s">
        <v>176</v>
      </c>
      <c r="K74" t="s">
        <v>277</v>
      </c>
      <c r="L74">
        <f>SUMIF('Besoins testables'!$D:$D,$A74,'Besoins testables'!$O:$O)</f>
        <v>0</v>
      </c>
    </row>
    <row r="75" spans="1:12" ht="15" customHeight="1">
      <c r="A75" t="s">
        <v>193</v>
      </c>
      <c r="B75" t="s">
        <v>278</v>
      </c>
      <c r="C75" t="s">
        <v>279</v>
      </c>
      <c r="D75" t="s">
        <v>16</v>
      </c>
      <c r="E75" t="s">
        <v>17</v>
      </c>
      <c r="F75" t="s">
        <v>270</v>
      </c>
      <c r="H75" t="s">
        <v>197</v>
      </c>
      <c r="I75" t="s">
        <v>198</v>
      </c>
      <c r="J75" t="s">
        <v>199</v>
      </c>
      <c r="K75" t="s">
        <v>280</v>
      </c>
      <c r="L75">
        <f>SUMIF('Besoins testables'!$D:$D,$A75,'Besoins testables'!$O:$O)</f>
        <v>0</v>
      </c>
    </row>
    <row r="76" spans="1:12" ht="15" customHeight="1">
      <c r="A76" t="s">
        <v>193</v>
      </c>
      <c r="B76" t="s">
        <v>281</v>
      </c>
      <c r="C76" t="s">
        <v>282</v>
      </c>
      <c r="D76" t="s">
        <v>16</v>
      </c>
      <c r="E76" t="s">
        <v>17</v>
      </c>
      <c r="F76" t="s">
        <v>270</v>
      </c>
      <c r="H76" t="s">
        <v>197</v>
      </c>
      <c r="I76" t="s">
        <v>198</v>
      </c>
      <c r="J76" t="s">
        <v>21</v>
      </c>
      <c r="K76" t="s">
        <v>283</v>
      </c>
      <c r="L76">
        <f>SUMIF('Besoins testables'!$D:$D,$A76,'Besoins testables'!$O:$O)</f>
        <v>0</v>
      </c>
    </row>
    <row r="77" spans="1:12" ht="15" customHeight="1">
      <c r="A77" t="s">
        <v>284</v>
      </c>
      <c r="B77" t="s">
        <v>285</v>
      </c>
      <c r="C77" t="s">
        <v>286</v>
      </c>
      <c r="D77" t="s">
        <v>16</v>
      </c>
      <c r="E77" t="s">
        <v>17</v>
      </c>
      <c r="F77" t="s">
        <v>287</v>
      </c>
      <c r="H77" t="s">
        <v>197</v>
      </c>
      <c r="I77" t="s">
        <v>198</v>
      </c>
      <c r="J77" t="s">
        <v>21</v>
      </c>
      <c r="K77" t="s">
        <v>288</v>
      </c>
      <c r="L77">
        <f>SUMIF('Besoins testables'!$D:$D,$A77,'Besoins testables'!$O:$O)</f>
        <v>0</v>
      </c>
    </row>
    <row r="78" spans="1:12" ht="15" customHeight="1">
      <c r="A78" t="s">
        <v>284</v>
      </c>
      <c r="B78" t="s">
        <v>289</v>
      </c>
      <c r="C78" t="s">
        <v>290</v>
      </c>
      <c r="D78" t="s">
        <v>25</v>
      </c>
      <c r="E78" t="s">
        <v>17</v>
      </c>
      <c r="F78" t="s">
        <v>287</v>
      </c>
      <c r="H78" t="s">
        <v>197</v>
      </c>
      <c r="I78" t="s">
        <v>198</v>
      </c>
      <c r="J78" t="s">
        <v>21</v>
      </c>
      <c r="K78" t="s">
        <v>291</v>
      </c>
    </row>
    <row r="79" spans="1:12" ht="15" customHeight="1">
      <c r="A79" t="s">
        <v>284</v>
      </c>
      <c r="B79" t="s">
        <v>292</v>
      </c>
      <c r="C79" t="s">
        <v>293</v>
      </c>
      <c r="D79" t="s">
        <v>25</v>
      </c>
      <c r="E79" t="s">
        <v>17</v>
      </c>
      <c r="F79" t="s">
        <v>287</v>
      </c>
      <c r="G79" t="s">
        <v>210</v>
      </c>
      <c r="H79" t="s">
        <v>197</v>
      </c>
      <c r="I79" t="s">
        <v>198</v>
      </c>
      <c r="J79" t="s">
        <v>214</v>
      </c>
      <c r="K79" t="s">
        <v>294</v>
      </c>
    </row>
    <row r="80" spans="1:12" ht="15" customHeight="1">
      <c r="A80" t="s">
        <v>284</v>
      </c>
      <c r="B80" t="s">
        <v>295</v>
      </c>
      <c r="C80" t="s">
        <v>296</v>
      </c>
      <c r="D80" t="s">
        <v>25</v>
      </c>
      <c r="E80" t="s">
        <v>17</v>
      </c>
      <c r="F80" t="s">
        <v>287</v>
      </c>
      <c r="H80" t="s">
        <v>197</v>
      </c>
      <c r="I80" t="s">
        <v>198</v>
      </c>
      <c r="J80" t="s">
        <v>21</v>
      </c>
      <c r="K80" t="s">
        <v>297</v>
      </c>
    </row>
    <row r="81" spans="1:12" ht="15" customHeight="1">
      <c r="A81" t="s">
        <v>284</v>
      </c>
      <c r="B81" t="s">
        <v>298</v>
      </c>
      <c r="C81" t="s">
        <v>299</v>
      </c>
      <c r="D81" t="s">
        <v>25</v>
      </c>
      <c r="E81" t="s">
        <v>29</v>
      </c>
      <c r="F81" t="s">
        <v>287</v>
      </c>
      <c r="H81" t="s">
        <v>197</v>
      </c>
      <c r="I81" t="s">
        <v>198</v>
      </c>
      <c r="J81" t="s">
        <v>21</v>
      </c>
      <c r="K81" t="s">
        <v>300</v>
      </c>
    </row>
    <row r="82" spans="1:12" ht="15" customHeight="1">
      <c r="A82" t="s">
        <v>284</v>
      </c>
      <c r="B82" t="s">
        <v>301</v>
      </c>
      <c r="C82" t="s">
        <v>302</v>
      </c>
      <c r="D82" t="s">
        <v>16</v>
      </c>
      <c r="E82" t="s">
        <v>17</v>
      </c>
      <c r="F82" t="s">
        <v>287</v>
      </c>
      <c r="H82" t="s">
        <v>197</v>
      </c>
      <c r="I82" t="s">
        <v>198</v>
      </c>
      <c r="J82" t="s">
        <v>21</v>
      </c>
      <c r="K82" t="s">
        <v>303</v>
      </c>
      <c r="L82">
        <f>SUMIF('Besoins testables'!$D:$D,$A82,'Besoins testables'!$O:$O)</f>
        <v>0</v>
      </c>
    </row>
    <row r="83" spans="1:12" ht="15" customHeight="1">
      <c r="A83" t="s">
        <v>304</v>
      </c>
      <c r="B83" t="s">
        <v>305</v>
      </c>
      <c r="C83" t="s">
        <v>306</v>
      </c>
      <c r="D83" t="s">
        <v>25</v>
      </c>
      <c r="E83" t="s">
        <v>17</v>
      </c>
      <c r="F83" t="s">
        <v>122</v>
      </c>
      <c r="G83" t="s">
        <v>307</v>
      </c>
      <c r="H83" t="s">
        <v>40</v>
      </c>
      <c r="I83" t="s">
        <v>41</v>
      </c>
      <c r="J83" t="s">
        <v>137</v>
      </c>
      <c r="K83" t="s">
        <v>308</v>
      </c>
    </row>
    <row r="84" spans="1:12" ht="15" customHeight="1">
      <c r="A84" t="s">
        <v>304</v>
      </c>
      <c r="B84" t="s">
        <v>307</v>
      </c>
      <c r="C84" t="s">
        <v>309</v>
      </c>
      <c r="D84" t="s">
        <v>16</v>
      </c>
      <c r="E84" t="s">
        <v>17</v>
      </c>
      <c r="F84" t="s">
        <v>122</v>
      </c>
      <c r="H84" t="s">
        <v>40</v>
      </c>
      <c r="I84" t="s">
        <v>41</v>
      </c>
      <c r="J84" t="s">
        <v>137</v>
      </c>
      <c r="K84" t="s">
        <v>310</v>
      </c>
      <c r="L84">
        <f>SUMIF('Besoins testables'!$D:$D,$A84,'Besoins testables'!$O:$O)</f>
        <v>0</v>
      </c>
    </row>
    <row r="85" spans="1:12" ht="15" customHeight="1">
      <c r="A85" t="s">
        <v>304</v>
      </c>
      <c r="B85" t="s">
        <v>311</v>
      </c>
      <c r="C85" t="s">
        <v>312</v>
      </c>
      <c r="D85" t="s">
        <v>16</v>
      </c>
      <c r="E85" t="s">
        <v>17</v>
      </c>
      <c r="F85" t="s">
        <v>122</v>
      </c>
      <c r="G85" t="s">
        <v>307</v>
      </c>
      <c r="H85" t="s">
        <v>40</v>
      </c>
      <c r="I85" t="s">
        <v>41</v>
      </c>
      <c r="J85" t="s">
        <v>137</v>
      </c>
      <c r="K85" t="s">
        <v>313</v>
      </c>
      <c r="L85">
        <f>SUMIF('Besoins testables'!$D:$D,$A85,'Besoins testables'!$O:$O)</f>
        <v>0</v>
      </c>
    </row>
    <row r="86" spans="1:12" ht="15" customHeight="1">
      <c r="A86" t="s">
        <v>304</v>
      </c>
      <c r="B86" t="s">
        <v>314</v>
      </c>
      <c r="C86" t="s">
        <v>315</v>
      </c>
      <c r="D86" t="s">
        <v>25</v>
      </c>
      <c r="E86" t="s">
        <v>17</v>
      </c>
      <c r="F86" t="s">
        <v>122</v>
      </c>
      <c r="G86" t="s">
        <v>316</v>
      </c>
      <c r="H86" t="s">
        <v>40</v>
      </c>
      <c r="I86" t="s">
        <v>41</v>
      </c>
      <c r="J86" t="s">
        <v>137</v>
      </c>
      <c r="K86" t="s">
        <v>317</v>
      </c>
    </row>
    <row r="87" spans="1:12" ht="15" customHeight="1">
      <c r="A87" t="s">
        <v>304</v>
      </c>
      <c r="B87" t="s">
        <v>318</v>
      </c>
      <c r="C87" t="s">
        <v>319</v>
      </c>
      <c r="D87" t="s">
        <v>25</v>
      </c>
      <c r="E87" t="s">
        <v>17</v>
      </c>
      <c r="F87" t="s">
        <v>122</v>
      </c>
      <c r="G87" t="s">
        <v>320</v>
      </c>
      <c r="H87" t="s">
        <v>40</v>
      </c>
      <c r="I87" t="s">
        <v>41</v>
      </c>
      <c r="J87" t="s">
        <v>137</v>
      </c>
      <c r="K87" t="s">
        <v>321</v>
      </c>
    </row>
    <row r="88" spans="1:12" ht="15" customHeight="1">
      <c r="A88" t="s">
        <v>304</v>
      </c>
      <c r="B88" t="s">
        <v>322</v>
      </c>
      <c r="C88" t="s">
        <v>323</v>
      </c>
      <c r="D88" t="s">
        <v>25</v>
      </c>
      <c r="E88" t="s">
        <v>29</v>
      </c>
      <c r="F88" t="s">
        <v>122</v>
      </c>
      <c r="G88" t="s">
        <v>307</v>
      </c>
      <c r="H88" t="s">
        <v>40</v>
      </c>
      <c r="I88" t="s">
        <v>41</v>
      </c>
      <c r="J88" t="s">
        <v>137</v>
      </c>
      <c r="K88" t="s">
        <v>324</v>
      </c>
    </row>
    <row r="89" spans="1:12" ht="15" customHeight="1">
      <c r="A89" t="s">
        <v>325</v>
      </c>
      <c r="B89" t="s">
        <v>326</v>
      </c>
      <c r="C89" t="s">
        <v>327</v>
      </c>
      <c r="D89" t="s">
        <v>16</v>
      </c>
      <c r="E89" t="s">
        <v>29</v>
      </c>
      <c r="F89" t="s">
        <v>97</v>
      </c>
      <c r="H89" t="s">
        <v>40</v>
      </c>
      <c r="I89" t="s">
        <v>41</v>
      </c>
      <c r="J89" t="s">
        <v>21</v>
      </c>
      <c r="K89" t="s">
        <v>328</v>
      </c>
      <c r="L89">
        <f>SUMIF('Besoins testables'!$D:$D,$A89,'Besoins testables'!$O:$O)</f>
        <v>0</v>
      </c>
    </row>
    <row r="90" spans="1:12" ht="15" customHeight="1">
      <c r="A90" t="s">
        <v>325</v>
      </c>
      <c r="B90" t="s">
        <v>329</v>
      </c>
      <c r="C90" t="s">
        <v>330</v>
      </c>
      <c r="D90" t="s">
        <v>16</v>
      </c>
      <c r="E90" t="s">
        <v>29</v>
      </c>
      <c r="F90" t="s">
        <v>97</v>
      </c>
      <c r="G90" t="s">
        <v>143</v>
      </c>
      <c r="H90" t="s">
        <v>40</v>
      </c>
      <c r="I90" t="s">
        <v>41</v>
      </c>
      <c r="J90" t="s">
        <v>21</v>
      </c>
      <c r="K90" t="s">
        <v>331</v>
      </c>
      <c r="L90">
        <f>SUMIF('Besoins testables'!$D:$D,$A90,'Besoins testables'!$O:$O)</f>
        <v>0</v>
      </c>
    </row>
    <row r="91" spans="1:12" ht="15" customHeight="1">
      <c r="A91" t="s">
        <v>325</v>
      </c>
      <c r="B91" t="s">
        <v>332</v>
      </c>
      <c r="C91" t="s">
        <v>333</v>
      </c>
      <c r="D91" t="s">
        <v>25</v>
      </c>
      <c r="E91" t="s">
        <v>17</v>
      </c>
      <c r="F91" t="s">
        <v>97</v>
      </c>
      <c r="H91" t="s">
        <v>40</v>
      </c>
      <c r="I91" t="s">
        <v>41</v>
      </c>
      <c r="J91" t="s">
        <v>137</v>
      </c>
      <c r="K91" t="s">
        <v>334</v>
      </c>
    </row>
    <row r="92" spans="1:12" ht="15" customHeight="1">
      <c r="A92" t="s">
        <v>325</v>
      </c>
      <c r="B92" t="s">
        <v>335</v>
      </c>
      <c r="C92" t="s">
        <v>336</v>
      </c>
      <c r="D92" t="s">
        <v>25</v>
      </c>
      <c r="E92" t="s">
        <v>17</v>
      </c>
      <c r="F92" t="s">
        <v>97</v>
      </c>
      <c r="G92" t="s">
        <v>38</v>
      </c>
      <c r="H92" t="s">
        <v>40</v>
      </c>
      <c r="I92" t="s">
        <v>41</v>
      </c>
      <c r="J92" t="s">
        <v>21</v>
      </c>
      <c r="K92" t="s">
        <v>337</v>
      </c>
    </row>
    <row r="93" spans="1:12" ht="15" customHeight="1">
      <c r="A93" t="s">
        <v>325</v>
      </c>
      <c r="B93" t="s">
        <v>338</v>
      </c>
      <c r="C93" t="s">
        <v>339</v>
      </c>
      <c r="D93" t="s">
        <v>25</v>
      </c>
      <c r="E93" t="s">
        <v>29</v>
      </c>
      <c r="F93" t="s">
        <v>97</v>
      </c>
      <c r="G93" t="s">
        <v>340</v>
      </c>
      <c r="H93" t="s">
        <v>40</v>
      </c>
      <c r="I93" t="s">
        <v>41</v>
      </c>
      <c r="J93" t="s">
        <v>21</v>
      </c>
      <c r="K93" t="s">
        <v>341</v>
      </c>
    </row>
    <row r="94" spans="1:12" ht="15" customHeight="1">
      <c r="A94" t="s">
        <v>325</v>
      </c>
      <c r="B94" t="s">
        <v>342</v>
      </c>
      <c r="C94" t="s">
        <v>343</v>
      </c>
      <c r="D94" t="s">
        <v>25</v>
      </c>
      <c r="E94" t="s">
        <v>29</v>
      </c>
      <c r="F94" t="s">
        <v>97</v>
      </c>
      <c r="H94" t="s">
        <v>40</v>
      </c>
      <c r="I94" t="s">
        <v>41</v>
      </c>
      <c r="J94" t="s">
        <v>137</v>
      </c>
      <c r="K94" t="s">
        <v>344</v>
      </c>
    </row>
    <row r="95" spans="1:12" ht="15" customHeight="1">
      <c r="A95" t="s">
        <v>345</v>
      </c>
      <c r="B95" t="s">
        <v>346</v>
      </c>
      <c r="C95" t="s">
        <v>347</v>
      </c>
      <c r="D95" t="s">
        <v>25</v>
      </c>
      <c r="E95" t="s">
        <v>17</v>
      </c>
      <c r="F95" t="s">
        <v>172</v>
      </c>
      <c r="H95" t="s">
        <v>146</v>
      </c>
      <c r="I95" t="s">
        <v>147</v>
      </c>
      <c r="J95" t="s">
        <v>176</v>
      </c>
      <c r="K95" t="s">
        <v>348</v>
      </c>
    </row>
    <row r="96" spans="1:12" ht="15" customHeight="1">
      <c r="A96" t="s">
        <v>345</v>
      </c>
      <c r="B96" t="s">
        <v>349</v>
      </c>
      <c r="C96" t="s">
        <v>350</v>
      </c>
      <c r="D96" t="s">
        <v>25</v>
      </c>
      <c r="E96" t="s">
        <v>17</v>
      </c>
      <c r="F96" t="s">
        <v>172</v>
      </c>
      <c r="G96" t="s">
        <v>346</v>
      </c>
      <c r="H96" t="s">
        <v>146</v>
      </c>
      <c r="I96" t="s">
        <v>147</v>
      </c>
      <c r="J96" t="s">
        <v>214</v>
      </c>
      <c r="K96" t="s">
        <v>351</v>
      </c>
    </row>
    <row r="97" spans="1:12" ht="15" customHeight="1">
      <c r="A97" t="s">
        <v>345</v>
      </c>
      <c r="B97" t="s">
        <v>352</v>
      </c>
      <c r="C97" t="s">
        <v>353</v>
      </c>
      <c r="D97" t="s">
        <v>16</v>
      </c>
      <c r="E97" t="s">
        <v>17</v>
      </c>
      <c r="F97" t="s">
        <v>172</v>
      </c>
      <c r="H97" t="s">
        <v>146</v>
      </c>
      <c r="I97" t="s">
        <v>147</v>
      </c>
      <c r="J97" t="s">
        <v>176</v>
      </c>
      <c r="K97" t="s">
        <v>354</v>
      </c>
      <c r="L97">
        <f>SUMIF('Besoins testables'!$D:$D,$A97,'Besoins testables'!$O:$O)</f>
        <v>0</v>
      </c>
    </row>
    <row r="98" spans="1:12" ht="15" customHeight="1">
      <c r="A98" t="s">
        <v>345</v>
      </c>
      <c r="B98" t="s">
        <v>355</v>
      </c>
      <c r="C98" t="s">
        <v>356</v>
      </c>
      <c r="D98" t="s">
        <v>25</v>
      </c>
      <c r="E98" t="s">
        <v>17</v>
      </c>
      <c r="F98" t="s">
        <v>172</v>
      </c>
      <c r="G98" t="s">
        <v>357</v>
      </c>
      <c r="H98" t="s">
        <v>146</v>
      </c>
      <c r="I98" t="s">
        <v>147</v>
      </c>
      <c r="J98" t="s">
        <v>176</v>
      </c>
      <c r="K98" t="s">
        <v>358</v>
      </c>
      <c r="L98">
        <f>SUMIF('Besoins testables'!$D:$D,$A98,'Besoins testables'!$O:$O)</f>
        <v>0</v>
      </c>
    </row>
    <row r="99" spans="1:12" ht="15" customHeight="1">
      <c r="A99" t="s">
        <v>345</v>
      </c>
      <c r="B99" t="s">
        <v>359</v>
      </c>
      <c r="C99" t="s">
        <v>360</v>
      </c>
      <c r="D99" t="s">
        <v>25</v>
      </c>
      <c r="E99" t="s">
        <v>17</v>
      </c>
      <c r="F99" t="s">
        <v>172</v>
      </c>
      <c r="G99" t="s">
        <v>180</v>
      </c>
      <c r="H99" t="s">
        <v>146</v>
      </c>
      <c r="I99" t="s">
        <v>147</v>
      </c>
      <c r="J99" t="s">
        <v>176</v>
      </c>
      <c r="K99" t="s">
        <v>361</v>
      </c>
    </row>
    <row r="100" spans="1:12" ht="15" customHeight="1">
      <c r="A100" t="s">
        <v>345</v>
      </c>
      <c r="B100" t="s">
        <v>362</v>
      </c>
      <c r="C100" t="s">
        <v>363</v>
      </c>
      <c r="D100" t="s">
        <v>25</v>
      </c>
      <c r="E100" t="s">
        <v>17</v>
      </c>
      <c r="F100" t="s">
        <v>172</v>
      </c>
      <c r="H100" t="s">
        <v>146</v>
      </c>
      <c r="I100" t="s">
        <v>147</v>
      </c>
      <c r="J100" t="s">
        <v>176</v>
      </c>
      <c r="K100" t="s">
        <v>364</v>
      </c>
    </row>
  </sheetData>
  <autoFilter ref="A1:M100" xr:uid="{00000000-0009-0000-0000-000000000000}"/>
  <pageMargins left="0.75" right="0.75" top="1" bottom="1" header="0.511811023622047" footer="0.511811023622047"/>
  <pageSetup paperSize="9" orientation="portrait" useFirstPageNumber="1"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7"/>
  <sheetViews>
    <sheetView zoomScaleNormal="100" workbookViewId="0">
      <pane ySplit="1" topLeftCell="A2" activePane="bottomLeft" state="frozen"/>
      <selection pane="bottomLeft"/>
    </sheetView>
  </sheetViews>
  <sheetFormatPr defaultColWidth="8.7109375" defaultRowHeight="15"/>
  <cols>
    <col min="1" max="1" width="14" customWidth="1"/>
    <col min="2" max="2" width="54" customWidth="1"/>
    <col min="3" max="3" width="26" customWidth="1"/>
    <col min="4" max="4" width="14" customWidth="1"/>
    <col min="5" max="5" width="40" customWidth="1"/>
    <col min="6" max="6" width="8" customWidth="1"/>
    <col min="7" max="7" width="13" customWidth="1"/>
    <col min="8" max="8" width="26" customWidth="1"/>
    <col min="9" max="9" width="18" customWidth="1"/>
    <col min="10" max="10" width="22" customWidth="1"/>
    <col min="11" max="11" width="26" customWidth="1"/>
    <col min="12" max="12" width="20" customWidth="1"/>
    <col min="13" max="13" width="70" customWidth="1"/>
    <col min="14" max="14" width="120" customWidth="1"/>
  </cols>
  <sheetData>
    <row r="1" spans="1:15" ht="15" customHeight="1">
      <c r="A1" s="1" t="s">
        <v>365</v>
      </c>
      <c r="B1" s="1" t="s">
        <v>366</v>
      </c>
      <c r="C1" s="1" t="s">
        <v>0</v>
      </c>
      <c r="D1" s="1" t="s">
        <v>1</v>
      </c>
      <c r="E1" s="1" t="s">
        <v>2</v>
      </c>
      <c r="F1" s="1" t="s">
        <v>3</v>
      </c>
      <c r="G1" s="1" t="s">
        <v>4</v>
      </c>
      <c r="H1" s="1" t="s">
        <v>5</v>
      </c>
      <c r="I1" s="1" t="s">
        <v>6</v>
      </c>
      <c r="J1" s="1" t="s">
        <v>7</v>
      </c>
      <c r="K1" s="1" t="s">
        <v>8</v>
      </c>
      <c r="L1" s="1" t="s">
        <v>9</v>
      </c>
      <c r="M1" s="1" t="s">
        <v>10</v>
      </c>
      <c r="N1" s="1" t="s">
        <v>367</v>
      </c>
      <c r="O1" t="s">
        <v>368</v>
      </c>
    </row>
    <row r="2" spans="1:15" ht="15" customHeight="1">
      <c r="A2" t="s">
        <v>369</v>
      </c>
      <c r="B2" t="s">
        <v>370</v>
      </c>
      <c r="C2" t="s">
        <v>13</v>
      </c>
      <c r="D2" t="s">
        <v>14</v>
      </c>
      <c r="E2" t="s">
        <v>15</v>
      </c>
      <c r="F2" t="s">
        <v>16</v>
      </c>
      <c r="G2" t="s">
        <v>17</v>
      </c>
      <c r="H2" t="s">
        <v>18</v>
      </c>
      <c r="J2" t="s">
        <v>19</v>
      </c>
      <c r="K2" t="s">
        <v>20</v>
      </c>
      <c r="L2" t="s">
        <v>21</v>
      </c>
      <c r="M2" t="s">
        <v>22</v>
      </c>
      <c r="N2" t="s">
        <v>371</v>
      </c>
    </row>
    <row r="3" spans="1:15" ht="15" customHeight="1">
      <c r="A3" t="s">
        <v>372</v>
      </c>
      <c r="B3" t="s">
        <v>373</v>
      </c>
      <c r="C3" t="s">
        <v>13</v>
      </c>
      <c r="D3" t="s">
        <v>14</v>
      </c>
      <c r="E3" t="s">
        <v>15</v>
      </c>
      <c r="F3" t="s">
        <v>16</v>
      </c>
      <c r="G3" t="s">
        <v>17</v>
      </c>
      <c r="H3" t="s">
        <v>18</v>
      </c>
      <c r="J3" t="s">
        <v>19</v>
      </c>
      <c r="K3" t="s">
        <v>20</v>
      </c>
      <c r="L3" t="s">
        <v>21</v>
      </c>
      <c r="M3" t="s">
        <v>22</v>
      </c>
      <c r="N3" t="s">
        <v>374</v>
      </c>
    </row>
    <row r="4" spans="1:15" ht="15" customHeight="1">
      <c r="A4" t="s">
        <v>375</v>
      </c>
      <c r="B4" t="s">
        <v>376</v>
      </c>
      <c r="C4" t="s">
        <v>13</v>
      </c>
      <c r="D4" t="s">
        <v>14</v>
      </c>
      <c r="E4" t="s">
        <v>15</v>
      </c>
      <c r="F4" t="s">
        <v>16</v>
      </c>
      <c r="G4" t="s">
        <v>17</v>
      </c>
      <c r="H4" t="s">
        <v>18</v>
      </c>
      <c r="J4" t="s">
        <v>19</v>
      </c>
      <c r="K4" t="s">
        <v>20</v>
      </c>
      <c r="L4" t="s">
        <v>21</v>
      </c>
      <c r="M4" t="s">
        <v>22</v>
      </c>
      <c r="N4" t="s">
        <v>377</v>
      </c>
    </row>
    <row r="5" spans="1:15" ht="15" customHeight="1">
      <c r="A5" t="s">
        <v>378</v>
      </c>
      <c r="B5" t="s">
        <v>379</v>
      </c>
      <c r="C5" t="s">
        <v>13</v>
      </c>
      <c r="D5" t="s">
        <v>14</v>
      </c>
      <c r="E5" t="s">
        <v>15</v>
      </c>
      <c r="F5" t="s">
        <v>16</v>
      </c>
      <c r="G5" t="s">
        <v>17</v>
      </c>
      <c r="H5" t="s">
        <v>18</v>
      </c>
      <c r="J5" t="s">
        <v>19</v>
      </c>
      <c r="K5" t="s">
        <v>20</v>
      </c>
      <c r="L5" t="s">
        <v>21</v>
      </c>
      <c r="M5" t="s">
        <v>22</v>
      </c>
      <c r="N5" t="s">
        <v>380</v>
      </c>
    </row>
    <row r="6" spans="1:15" ht="15" customHeight="1">
      <c r="A6" t="s">
        <v>381</v>
      </c>
      <c r="B6" t="s">
        <v>382</v>
      </c>
      <c r="C6" t="s">
        <v>13</v>
      </c>
      <c r="D6" t="s">
        <v>14</v>
      </c>
      <c r="E6" t="s">
        <v>15</v>
      </c>
      <c r="F6" t="s">
        <v>16</v>
      </c>
      <c r="G6" t="s">
        <v>17</v>
      </c>
      <c r="H6" t="s">
        <v>18</v>
      </c>
      <c r="J6" t="s">
        <v>19</v>
      </c>
      <c r="K6" t="s">
        <v>20</v>
      </c>
      <c r="L6" t="s">
        <v>21</v>
      </c>
      <c r="M6" t="s">
        <v>22</v>
      </c>
      <c r="N6" t="s">
        <v>383</v>
      </c>
    </row>
    <row r="7" spans="1:15" ht="15" customHeight="1">
      <c r="A7" t="s">
        <v>384</v>
      </c>
      <c r="B7" t="s">
        <v>385</v>
      </c>
      <c r="C7" t="s">
        <v>13</v>
      </c>
      <c r="D7" t="s">
        <v>27</v>
      </c>
      <c r="E7" t="s">
        <v>28</v>
      </c>
      <c r="F7" t="s">
        <v>16</v>
      </c>
      <c r="G7" t="s">
        <v>29</v>
      </c>
      <c r="H7" t="s">
        <v>18</v>
      </c>
      <c r="I7" t="s">
        <v>14</v>
      </c>
      <c r="J7" t="s">
        <v>19</v>
      </c>
      <c r="K7" t="s">
        <v>20</v>
      </c>
      <c r="L7" t="s">
        <v>21</v>
      </c>
      <c r="M7" t="s">
        <v>30</v>
      </c>
      <c r="N7" t="s">
        <v>386</v>
      </c>
    </row>
    <row r="8" spans="1:15" ht="15" customHeight="1">
      <c r="A8" t="s">
        <v>387</v>
      </c>
      <c r="B8" t="s">
        <v>388</v>
      </c>
      <c r="C8" t="s">
        <v>13</v>
      </c>
      <c r="D8" t="s">
        <v>27</v>
      </c>
      <c r="E8" t="s">
        <v>28</v>
      </c>
      <c r="F8" t="s">
        <v>16</v>
      </c>
      <c r="G8" t="s">
        <v>29</v>
      </c>
      <c r="H8" t="s">
        <v>18</v>
      </c>
      <c r="I8" t="s">
        <v>14</v>
      </c>
      <c r="J8" t="s">
        <v>19</v>
      </c>
      <c r="K8" t="s">
        <v>20</v>
      </c>
      <c r="L8" t="s">
        <v>21</v>
      </c>
      <c r="M8" t="s">
        <v>30</v>
      </c>
      <c r="N8" t="s">
        <v>389</v>
      </c>
    </row>
    <row r="9" spans="1:15" ht="15" customHeight="1">
      <c r="A9" t="s">
        <v>390</v>
      </c>
      <c r="B9" t="s">
        <v>391</v>
      </c>
      <c r="C9" t="s">
        <v>13</v>
      </c>
      <c r="D9" t="s">
        <v>31</v>
      </c>
      <c r="E9" t="s">
        <v>32</v>
      </c>
      <c r="F9" t="s">
        <v>16</v>
      </c>
      <c r="G9" t="s">
        <v>29</v>
      </c>
      <c r="H9" t="s">
        <v>18</v>
      </c>
      <c r="I9" t="s">
        <v>14</v>
      </c>
      <c r="J9" t="s">
        <v>33</v>
      </c>
      <c r="K9" t="s">
        <v>20</v>
      </c>
      <c r="L9" t="s">
        <v>21</v>
      </c>
      <c r="M9" t="s">
        <v>34</v>
      </c>
      <c r="N9" t="s">
        <v>392</v>
      </c>
    </row>
    <row r="10" spans="1:15" ht="15" customHeight="1">
      <c r="A10" t="s">
        <v>393</v>
      </c>
      <c r="B10" t="s">
        <v>394</v>
      </c>
      <c r="C10" t="s">
        <v>13</v>
      </c>
      <c r="D10" t="s">
        <v>31</v>
      </c>
      <c r="E10" t="s">
        <v>32</v>
      </c>
      <c r="F10" t="s">
        <v>16</v>
      </c>
      <c r="G10" t="s">
        <v>29</v>
      </c>
      <c r="H10" t="s">
        <v>18</v>
      </c>
      <c r="I10" t="s">
        <v>14</v>
      </c>
      <c r="J10" t="s">
        <v>33</v>
      </c>
      <c r="K10" t="s">
        <v>20</v>
      </c>
      <c r="L10" t="s">
        <v>21</v>
      </c>
      <c r="M10" t="s">
        <v>34</v>
      </c>
      <c r="N10" t="s">
        <v>395</v>
      </c>
    </row>
    <row r="11" spans="1:15" ht="15" customHeight="1">
      <c r="A11" t="s">
        <v>396</v>
      </c>
      <c r="B11" t="s">
        <v>397</v>
      </c>
      <c r="C11" t="s">
        <v>13</v>
      </c>
      <c r="D11" t="s">
        <v>31</v>
      </c>
      <c r="E11" t="s">
        <v>32</v>
      </c>
      <c r="F11" t="s">
        <v>16</v>
      </c>
      <c r="G11" t="s">
        <v>29</v>
      </c>
      <c r="H11" t="s">
        <v>18</v>
      </c>
      <c r="I11" t="s">
        <v>14</v>
      </c>
      <c r="J11" t="s">
        <v>33</v>
      </c>
      <c r="K11" t="s">
        <v>20</v>
      </c>
      <c r="L11" t="s">
        <v>21</v>
      </c>
      <c r="M11" t="s">
        <v>34</v>
      </c>
      <c r="N11" t="s">
        <v>398</v>
      </c>
    </row>
    <row r="12" spans="1:15" ht="15" customHeight="1">
      <c r="A12" t="s">
        <v>399</v>
      </c>
      <c r="B12" t="s">
        <v>400</v>
      </c>
      <c r="C12" t="s">
        <v>13</v>
      </c>
      <c r="D12" t="s">
        <v>35</v>
      </c>
      <c r="E12" t="s">
        <v>36</v>
      </c>
      <c r="F12" t="s">
        <v>16</v>
      </c>
      <c r="G12" t="s">
        <v>17</v>
      </c>
      <c r="H12" t="s">
        <v>18</v>
      </c>
      <c r="I12" t="s">
        <v>14</v>
      </c>
      <c r="J12" t="s">
        <v>19</v>
      </c>
      <c r="K12" t="s">
        <v>20</v>
      </c>
      <c r="L12" t="s">
        <v>21</v>
      </c>
      <c r="M12" t="s">
        <v>37</v>
      </c>
      <c r="N12" t="s">
        <v>401</v>
      </c>
    </row>
    <row r="13" spans="1:15" ht="15" customHeight="1">
      <c r="A13" t="s">
        <v>402</v>
      </c>
      <c r="B13" t="s">
        <v>403</v>
      </c>
      <c r="C13" t="s">
        <v>13</v>
      </c>
      <c r="D13" t="s">
        <v>35</v>
      </c>
      <c r="E13" t="s">
        <v>36</v>
      </c>
      <c r="F13" t="s">
        <v>16</v>
      </c>
      <c r="G13" t="s">
        <v>17</v>
      </c>
      <c r="H13" t="s">
        <v>18</v>
      </c>
      <c r="I13" t="s">
        <v>14</v>
      </c>
      <c r="J13" t="s">
        <v>19</v>
      </c>
      <c r="K13" t="s">
        <v>20</v>
      </c>
      <c r="L13" t="s">
        <v>21</v>
      </c>
      <c r="M13" t="s">
        <v>37</v>
      </c>
      <c r="N13" t="s">
        <v>404</v>
      </c>
    </row>
    <row r="14" spans="1:15" ht="15" customHeight="1">
      <c r="A14" t="s">
        <v>405</v>
      </c>
      <c r="B14" t="s">
        <v>406</v>
      </c>
      <c r="C14" t="s">
        <v>13</v>
      </c>
      <c r="D14" t="s">
        <v>35</v>
      </c>
      <c r="E14" t="s">
        <v>36</v>
      </c>
      <c r="F14" t="s">
        <v>16</v>
      </c>
      <c r="G14" t="s">
        <v>17</v>
      </c>
      <c r="H14" t="s">
        <v>18</v>
      </c>
      <c r="I14" t="s">
        <v>14</v>
      </c>
      <c r="J14" t="s">
        <v>19</v>
      </c>
      <c r="K14" t="s">
        <v>20</v>
      </c>
      <c r="L14" t="s">
        <v>21</v>
      </c>
      <c r="M14" t="s">
        <v>37</v>
      </c>
      <c r="N14" t="s">
        <v>407</v>
      </c>
    </row>
    <row r="15" spans="1:15" ht="15" customHeight="1">
      <c r="A15" t="s">
        <v>408</v>
      </c>
      <c r="B15" t="s">
        <v>409</v>
      </c>
      <c r="C15" t="s">
        <v>13</v>
      </c>
      <c r="D15" t="s">
        <v>38</v>
      </c>
      <c r="E15" t="s">
        <v>39</v>
      </c>
      <c r="F15" t="s">
        <v>16</v>
      </c>
      <c r="G15" t="s">
        <v>29</v>
      </c>
      <c r="H15" t="s">
        <v>18</v>
      </c>
      <c r="I15" t="s">
        <v>14</v>
      </c>
      <c r="J15" t="s">
        <v>40</v>
      </c>
      <c r="K15" t="s">
        <v>41</v>
      </c>
      <c r="L15" t="s">
        <v>21</v>
      </c>
      <c r="M15" t="s">
        <v>42</v>
      </c>
      <c r="N15" t="s">
        <v>410</v>
      </c>
    </row>
    <row r="16" spans="1:15" ht="15" customHeight="1">
      <c r="A16" t="s">
        <v>411</v>
      </c>
      <c r="B16" t="s">
        <v>412</v>
      </c>
      <c r="C16" t="s">
        <v>13</v>
      </c>
      <c r="D16" t="s">
        <v>38</v>
      </c>
      <c r="E16" t="s">
        <v>39</v>
      </c>
      <c r="F16" t="s">
        <v>16</v>
      </c>
      <c r="G16" t="s">
        <v>29</v>
      </c>
      <c r="H16" t="s">
        <v>18</v>
      </c>
      <c r="I16" t="s">
        <v>14</v>
      </c>
      <c r="J16" t="s">
        <v>40</v>
      </c>
      <c r="K16" t="s">
        <v>41</v>
      </c>
      <c r="L16" t="s">
        <v>21</v>
      </c>
      <c r="M16" t="s">
        <v>42</v>
      </c>
      <c r="N16" t="s">
        <v>413</v>
      </c>
    </row>
    <row r="17" spans="1:14" ht="15" customHeight="1">
      <c r="A17" t="s">
        <v>414</v>
      </c>
      <c r="B17" t="s">
        <v>415</v>
      </c>
      <c r="C17" t="s">
        <v>46</v>
      </c>
      <c r="D17" t="s">
        <v>47</v>
      </c>
      <c r="E17" t="s">
        <v>48</v>
      </c>
      <c r="F17" t="s">
        <v>16</v>
      </c>
      <c r="G17" t="s">
        <v>17</v>
      </c>
      <c r="H17" t="s">
        <v>18</v>
      </c>
      <c r="I17" t="s">
        <v>23</v>
      </c>
      <c r="J17" t="s">
        <v>33</v>
      </c>
      <c r="K17" t="s">
        <v>20</v>
      </c>
      <c r="L17" t="s">
        <v>21</v>
      </c>
      <c r="M17" t="s">
        <v>49</v>
      </c>
      <c r="N17" t="s">
        <v>416</v>
      </c>
    </row>
    <row r="18" spans="1:14" ht="15" customHeight="1">
      <c r="A18" t="s">
        <v>417</v>
      </c>
      <c r="B18" t="s">
        <v>418</v>
      </c>
      <c r="C18" t="s">
        <v>46</v>
      </c>
      <c r="D18" t="s">
        <v>47</v>
      </c>
      <c r="E18" t="s">
        <v>48</v>
      </c>
      <c r="F18" t="s">
        <v>16</v>
      </c>
      <c r="G18" t="s">
        <v>17</v>
      </c>
      <c r="H18" t="s">
        <v>18</v>
      </c>
      <c r="I18" t="s">
        <v>23</v>
      </c>
      <c r="J18" t="s">
        <v>33</v>
      </c>
      <c r="K18" t="s">
        <v>20</v>
      </c>
      <c r="L18" t="s">
        <v>21</v>
      </c>
      <c r="M18" t="s">
        <v>49</v>
      </c>
      <c r="N18" t="s">
        <v>419</v>
      </c>
    </row>
    <row r="19" spans="1:14" ht="15" customHeight="1">
      <c r="A19" t="s">
        <v>420</v>
      </c>
      <c r="B19" t="s">
        <v>421</v>
      </c>
      <c r="C19" t="s">
        <v>46</v>
      </c>
      <c r="D19" t="s">
        <v>47</v>
      </c>
      <c r="E19" t="s">
        <v>48</v>
      </c>
      <c r="F19" t="s">
        <v>16</v>
      </c>
      <c r="G19" t="s">
        <v>17</v>
      </c>
      <c r="H19" t="s">
        <v>18</v>
      </c>
      <c r="I19" t="s">
        <v>23</v>
      </c>
      <c r="J19" t="s">
        <v>33</v>
      </c>
      <c r="K19" t="s">
        <v>20</v>
      </c>
      <c r="L19" t="s">
        <v>21</v>
      </c>
      <c r="M19" t="s">
        <v>49</v>
      </c>
      <c r="N19" t="s">
        <v>422</v>
      </c>
    </row>
    <row r="20" spans="1:14" ht="15" customHeight="1">
      <c r="A20" t="s">
        <v>423</v>
      </c>
      <c r="B20" t="s">
        <v>424</v>
      </c>
      <c r="C20" t="s">
        <v>46</v>
      </c>
      <c r="D20" t="s">
        <v>50</v>
      </c>
      <c r="E20" t="s">
        <v>51</v>
      </c>
      <c r="F20" t="s">
        <v>16</v>
      </c>
      <c r="G20" t="s">
        <v>17</v>
      </c>
      <c r="H20" t="s">
        <v>18</v>
      </c>
      <c r="I20" t="s">
        <v>47</v>
      </c>
      <c r="J20" t="s">
        <v>33</v>
      </c>
      <c r="K20" t="s">
        <v>20</v>
      </c>
      <c r="L20" t="s">
        <v>21</v>
      </c>
      <c r="M20" t="s">
        <v>52</v>
      </c>
      <c r="N20" t="s">
        <v>425</v>
      </c>
    </row>
    <row r="21" spans="1:14" ht="15" customHeight="1">
      <c r="A21" t="s">
        <v>426</v>
      </c>
      <c r="B21" t="s">
        <v>427</v>
      </c>
      <c r="C21" t="s">
        <v>46</v>
      </c>
      <c r="D21" t="s">
        <v>50</v>
      </c>
      <c r="E21" t="s">
        <v>51</v>
      </c>
      <c r="F21" t="s">
        <v>16</v>
      </c>
      <c r="G21" t="s">
        <v>17</v>
      </c>
      <c r="H21" t="s">
        <v>18</v>
      </c>
      <c r="I21" t="s">
        <v>47</v>
      </c>
      <c r="J21" t="s">
        <v>33</v>
      </c>
      <c r="K21" t="s">
        <v>20</v>
      </c>
      <c r="L21" t="s">
        <v>21</v>
      </c>
      <c r="M21" t="s">
        <v>52</v>
      </c>
      <c r="N21" t="s">
        <v>428</v>
      </c>
    </row>
    <row r="22" spans="1:14" ht="15" customHeight="1">
      <c r="A22" t="s">
        <v>429</v>
      </c>
      <c r="B22" t="s">
        <v>430</v>
      </c>
      <c r="C22" t="s">
        <v>46</v>
      </c>
      <c r="D22" t="s">
        <v>50</v>
      </c>
      <c r="E22" t="s">
        <v>51</v>
      </c>
      <c r="F22" t="s">
        <v>16</v>
      </c>
      <c r="G22" t="s">
        <v>17</v>
      </c>
      <c r="H22" t="s">
        <v>18</v>
      </c>
      <c r="I22" t="s">
        <v>47</v>
      </c>
      <c r="J22" t="s">
        <v>33</v>
      </c>
      <c r="K22" t="s">
        <v>20</v>
      </c>
      <c r="L22" t="s">
        <v>21</v>
      </c>
      <c r="M22" t="s">
        <v>52</v>
      </c>
      <c r="N22" t="s">
        <v>431</v>
      </c>
    </row>
    <row r="23" spans="1:14" ht="15" customHeight="1">
      <c r="A23" t="s">
        <v>432</v>
      </c>
      <c r="B23" t="s">
        <v>433</v>
      </c>
      <c r="C23" t="s">
        <v>46</v>
      </c>
      <c r="D23" t="s">
        <v>56</v>
      </c>
      <c r="E23" t="s">
        <v>57</v>
      </c>
      <c r="F23" t="s">
        <v>16</v>
      </c>
      <c r="G23" t="s">
        <v>17</v>
      </c>
      <c r="H23" t="s">
        <v>18</v>
      </c>
      <c r="J23" t="s">
        <v>33</v>
      </c>
      <c r="K23" t="s">
        <v>20</v>
      </c>
      <c r="L23" t="s">
        <v>21</v>
      </c>
      <c r="M23" t="s">
        <v>58</v>
      </c>
      <c r="N23" t="s">
        <v>434</v>
      </c>
    </row>
    <row r="24" spans="1:14" ht="15" customHeight="1">
      <c r="A24" t="s">
        <v>435</v>
      </c>
      <c r="B24" t="s">
        <v>436</v>
      </c>
      <c r="C24" t="s">
        <v>46</v>
      </c>
      <c r="D24" t="s">
        <v>56</v>
      </c>
      <c r="E24" t="s">
        <v>57</v>
      </c>
      <c r="F24" t="s">
        <v>16</v>
      </c>
      <c r="G24" t="s">
        <v>17</v>
      </c>
      <c r="H24" t="s">
        <v>18</v>
      </c>
      <c r="J24" t="s">
        <v>33</v>
      </c>
      <c r="K24" t="s">
        <v>20</v>
      </c>
      <c r="L24" t="s">
        <v>21</v>
      </c>
      <c r="M24" t="s">
        <v>58</v>
      </c>
      <c r="N24" t="s">
        <v>437</v>
      </c>
    </row>
    <row r="25" spans="1:14" ht="15" customHeight="1">
      <c r="A25" t="s">
        <v>438</v>
      </c>
      <c r="B25" t="s">
        <v>439</v>
      </c>
      <c r="C25" t="s">
        <v>46</v>
      </c>
      <c r="D25" t="s">
        <v>56</v>
      </c>
      <c r="E25" t="s">
        <v>57</v>
      </c>
      <c r="F25" t="s">
        <v>16</v>
      </c>
      <c r="G25" t="s">
        <v>17</v>
      </c>
      <c r="H25" t="s">
        <v>18</v>
      </c>
      <c r="J25" t="s">
        <v>33</v>
      </c>
      <c r="K25" t="s">
        <v>20</v>
      </c>
      <c r="L25" t="s">
        <v>21</v>
      </c>
      <c r="M25" t="s">
        <v>58</v>
      </c>
      <c r="N25" t="s">
        <v>440</v>
      </c>
    </row>
    <row r="26" spans="1:14" ht="15" customHeight="1">
      <c r="A26" t="s">
        <v>441</v>
      </c>
      <c r="B26" t="s">
        <v>442</v>
      </c>
      <c r="C26" t="s">
        <v>46</v>
      </c>
      <c r="D26" t="s">
        <v>65</v>
      </c>
      <c r="E26" t="s">
        <v>66</v>
      </c>
      <c r="F26" t="s">
        <v>16</v>
      </c>
      <c r="G26" t="s">
        <v>17</v>
      </c>
      <c r="H26" t="s">
        <v>18</v>
      </c>
      <c r="J26" t="s">
        <v>33</v>
      </c>
      <c r="K26" t="s">
        <v>20</v>
      </c>
      <c r="L26" t="s">
        <v>21</v>
      </c>
      <c r="M26" t="s">
        <v>67</v>
      </c>
      <c r="N26" t="s">
        <v>443</v>
      </c>
    </row>
    <row r="27" spans="1:14" ht="15" customHeight="1">
      <c r="A27" t="s">
        <v>444</v>
      </c>
      <c r="B27" t="s">
        <v>445</v>
      </c>
      <c r="C27" t="s">
        <v>46</v>
      </c>
      <c r="D27" t="s">
        <v>65</v>
      </c>
      <c r="E27" t="s">
        <v>66</v>
      </c>
      <c r="F27" t="s">
        <v>16</v>
      </c>
      <c r="G27" t="s">
        <v>17</v>
      </c>
      <c r="H27" t="s">
        <v>18</v>
      </c>
      <c r="J27" t="s">
        <v>33</v>
      </c>
      <c r="K27" t="s">
        <v>20</v>
      </c>
      <c r="L27" t="s">
        <v>21</v>
      </c>
      <c r="M27" t="s">
        <v>67</v>
      </c>
      <c r="N27" t="s">
        <v>446</v>
      </c>
    </row>
    <row r="28" spans="1:14" ht="15" customHeight="1">
      <c r="A28" t="s">
        <v>447</v>
      </c>
      <c r="B28" t="s">
        <v>448</v>
      </c>
      <c r="C28" t="s">
        <v>46</v>
      </c>
      <c r="D28" t="s">
        <v>65</v>
      </c>
      <c r="E28" t="s">
        <v>66</v>
      </c>
      <c r="F28" t="s">
        <v>16</v>
      </c>
      <c r="G28" t="s">
        <v>17</v>
      </c>
      <c r="H28" t="s">
        <v>18</v>
      </c>
      <c r="J28" t="s">
        <v>33</v>
      </c>
      <c r="K28" t="s">
        <v>20</v>
      </c>
      <c r="L28" t="s">
        <v>21</v>
      </c>
      <c r="M28" t="s">
        <v>67</v>
      </c>
      <c r="N28" t="s">
        <v>449</v>
      </c>
    </row>
    <row r="29" spans="1:14" ht="15" customHeight="1">
      <c r="A29" t="s">
        <v>450</v>
      </c>
      <c r="B29" t="s">
        <v>451</v>
      </c>
      <c r="C29" t="s">
        <v>46</v>
      </c>
      <c r="D29" t="s">
        <v>74</v>
      </c>
      <c r="E29" t="s">
        <v>75</v>
      </c>
      <c r="F29" t="s">
        <v>16</v>
      </c>
      <c r="G29" t="s">
        <v>29</v>
      </c>
      <c r="H29" t="s">
        <v>18</v>
      </c>
      <c r="I29" t="s">
        <v>76</v>
      </c>
      <c r="J29" t="s">
        <v>19</v>
      </c>
      <c r="K29" t="s">
        <v>20</v>
      </c>
      <c r="L29" t="s">
        <v>21</v>
      </c>
      <c r="M29" t="s">
        <v>77</v>
      </c>
      <c r="N29" t="s">
        <v>452</v>
      </c>
    </row>
    <row r="30" spans="1:14" ht="15" customHeight="1">
      <c r="A30" t="s">
        <v>453</v>
      </c>
      <c r="B30" t="s">
        <v>454</v>
      </c>
      <c r="C30" t="s">
        <v>46</v>
      </c>
      <c r="D30" t="s">
        <v>74</v>
      </c>
      <c r="E30" t="s">
        <v>75</v>
      </c>
      <c r="F30" t="s">
        <v>16</v>
      </c>
      <c r="G30" t="s">
        <v>29</v>
      </c>
      <c r="H30" t="s">
        <v>18</v>
      </c>
      <c r="I30" t="s">
        <v>76</v>
      </c>
      <c r="J30" t="s">
        <v>19</v>
      </c>
      <c r="K30" t="s">
        <v>20</v>
      </c>
      <c r="L30" t="s">
        <v>21</v>
      </c>
      <c r="M30" t="s">
        <v>77</v>
      </c>
      <c r="N30" t="s">
        <v>455</v>
      </c>
    </row>
    <row r="31" spans="1:14" ht="15" customHeight="1">
      <c r="A31" t="s">
        <v>456</v>
      </c>
      <c r="B31" t="s">
        <v>457</v>
      </c>
      <c r="C31" t="s">
        <v>46</v>
      </c>
      <c r="D31" t="s">
        <v>74</v>
      </c>
      <c r="E31" t="s">
        <v>75</v>
      </c>
      <c r="F31" t="s">
        <v>16</v>
      </c>
      <c r="G31" t="s">
        <v>29</v>
      </c>
      <c r="H31" t="s">
        <v>18</v>
      </c>
      <c r="I31" t="s">
        <v>76</v>
      </c>
      <c r="J31" t="s">
        <v>19</v>
      </c>
      <c r="K31" t="s">
        <v>20</v>
      </c>
      <c r="L31" t="s">
        <v>21</v>
      </c>
      <c r="M31" t="s">
        <v>77</v>
      </c>
      <c r="N31" t="s">
        <v>458</v>
      </c>
    </row>
    <row r="32" spans="1:14" ht="15" customHeight="1">
      <c r="A32" t="s">
        <v>459</v>
      </c>
      <c r="B32" t="s">
        <v>460</v>
      </c>
      <c r="C32" t="s">
        <v>46</v>
      </c>
      <c r="D32" t="s">
        <v>74</v>
      </c>
      <c r="E32" t="s">
        <v>75</v>
      </c>
      <c r="F32" t="s">
        <v>16</v>
      </c>
      <c r="G32" t="s">
        <v>29</v>
      </c>
      <c r="H32" t="s">
        <v>18</v>
      </c>
      <c r="I32" t="s">
        <v>76</v>
      </c>
      <c r="J32" t="s">
        <v>19</v>
      </c>
      <c r="K32" t="s">
        <v>20</v>
      </c>
      <c r="L32" t="s">
        <v>21</v>
      </c>
      <c r="M32" t="s">
        <v>77</v>
      </c>
      <c r="N32" t="s">
        <v>461</v>
      </c>
    </row>
    <row r="33" spans="1:14" ht="15" customHeight="1">
      <c r="A33" t="s">
        <v>462</v>
      </c>
      <c r="B33" t="s">
        <v>463</v>
      </c>
      <c r="C33" t="s">
        <v>46</v>
      </c>
      <c r="D33" t="s">
        <v>81</v>
      </c>
      <c r="E33" t="s">
        <v>82</v>
      </c>
      <c r="F33" t="s">
        <v>16</v>
      </c>
      <c r="G33" t="s">
        <v>17</v>
      </c>
      <c r="H33" t="s">
        <v>18</v>
      </c>
      <c r="I33" t="s">
        <v>83</v>
      </c>
      <c r="J33" t="s">
        <v>33</v>
      </c>
      <c r="K33" t="s">
        <v>20</v>
      </c>
      <c r="L33" t="s">
        <v>21</v>
      </c>
      <c r="M33" t="s">
        <v>84</v>
      </c>
      <c r="N33" t="s">
        <v>464</v>
      </c>
    </row>
    <row r="34" spans="1:14" ht="15" customHeight="1">
      <c r="A34" t="s">
        <v>465</v>
      </c>
      <c r="B34" t="s">
        <v>466</v>
      </c>
      <c r="C34" t="s">
        <v>46</v>
      </c>
      <c r="D34" t="s">
        <v>81</v>
      </c>
      <c r="E34" t="s">
        <v>82</v>
      </c>
      <c r="F34" t="s">
        <v>16</v>
      </c>
      <c r="G34" t="s">
        <v>17</v>
      </c>
      <c r="H34" t="s">
        <v>18</v>
      </c>
      <c r="I34" t="s">
        <v>83</v>
      </c>
      <c r="J34" t="s">
        <v>33</v>
      </c>
      <c r="K34" t="s">
        <v>20</v>
      </c>
      <c r="L34" t="s">
        <v>21</v>
      </c>
      <c r="M34" t="s">
        <v>84</v>
      </c>
      <c r="N34" t="s">
        <v>467</v>
      </c>
    </row>
    <row r="35" spans="1:14" ht="15" customHeight="1">
      <c r="A35" t="s">
        <v>468</v>
      </c>
      <c r="B35" t="s">
        <v>469</v>
      </c>
      <c r="C35" t="s">
        <v>46</v>
      </c>
      <c r="D35" t="s">
        <v>81</v>
      </c>
      <c r="E35" t="s">
        <v>82</v>
      </c>
      <c r="F35" t="s">
        <v>16</v>
      </c>
      <c r="G35" t="s">
        <v>17</v>
      </c>
      <c r="H35" t="s">
        <v>18</v>
      </c>
      <c r="I35" t="s">
        <v>83</v>
      </c>
      <c r="J35" t="s">
        <v>33</v>
      </c>
      <c r="K35" t="s">
        <v>20</v>
      </c>
      <c r="L35" t="s">
        <v>21</v>
      </c>
      <c r="M35" t="s">
        <v>84</v>
      </c>
      <c r="N35" t="s">
        <v>470</v>
      </c>
    </row>
    <row r="36" spans="1:14" ht="15" customHeight="1">
      <c r="A36" t="s">
        <v>471</v>
      </c>
      <c r="B36" t="s">
        <v>472</v>
      </c>
      <c r="C36" t="s">
        <v>94</v>
      </c>
      <c r="D36" t="s">
        <v>95</v>
      </c>
      <c r="E36" t="s">
        <v>96</v>
      </c>
      <c r="F36" t="s">
        <v>16</v>
      </c>
      <c r="G36" t="s">
        <v>29</v>
      </c>
      <c r="H36" t="s">
        <v>97</v>
      </c>
      <c r="J36" t="s">
        <v>98</v>
      </c>
      <c r="K36" t="s">
        <v>99</v>
      </c>
      <c r="L36" t="s">
        <v>21</v>
      </c>
      <c r="M36" t="s">
        <v>100</v>
      </c>
      <c r="N36" t="s">
        <v>473</v>
      </c>
    </row>
    <row r="37" spans="1:14" ht="15" customHeight="1">
      <c r="A37" t="s">
        <v>474</v>
      </c>
      <c r="B37" t="s">
        <v>475</v>
      </c>
      <c r="C37" t="s">
        <v>94</v>
      </c>
      <c r="D37" t="s">
        <v>95</v>
      </c>
      <c r="E37" t="s">
        <v>96</v>
      </c>
      <c r="F37" t="s">
        <v>16</v>
      </c>
      <c r="G37" t="s">
        <v>29</v>
      </c>
      <c r="H37" t="s">
        <v>97</v>
      </c>
      <c r="J37" t="s">
        <v>98</v>
      </c>
      <c r="K37" t="s">
        <v>99</v>
      </c>
      <c r="L37" t="s">
        <v>21</v>
      </c>
      <c r="M37" t="s">
        <v>100</v>
      </c>
      <c r="N37" t="s">
        <v>476</v>
      </c>
    </row>
    <row r="38" spans="1:14" ht="15" customHeight="1">
      <c r="A38" t="s">
        <v>477</v>
      </c>
      <c r="B38" t="s">
        <v>478</v>
      </c>
      <c r="C38" t="s">
        <v>94</v>
      </c>
      <c r="D38" t="s">
        <v>95</v>
      </c>
      <c r="E38" t="s">
        <v>96</v>
      </c>
      <c r="F38" t="s">
        <v>16</v>
      </c>
      <c r="G38" t="s">
        <v>29</v>
      </c>
      <c r="H38" t="s">
        <v>97</v>
      </c>
      <c r="J38" t="s">
        <v>98</v>
      </c>
      <c r="K38" t="s">
        <v>99</v>
      </c>
      <c r="L38" t="s">
        <v>21</v>
      </c>
      <c r="M38" t="s">
        <v>100</v>
      </c>
      <c r="N38" t="s">
        <v>479</v>
      </c>
    </row>
    <row r="39" spans="1:14" ht="15" customHeight="1">
      <c r="A39" t="s">
        <v>480</v>
      </c>
      <c r="B39" t="s">
        <v>481</v>
      </c>
      <c r="C39" t="s">
        <v>94</v>
      </c>
      <c r="D39" t="s">
        <v>95</v>
      </c>
      <c r="E39" t="s">
        <v>96</v>
      </c>
      <c r="F39" t="s">
        <v>16</v>
      </c>
      <c r="G39" t="s">
        <v>29</v>
      </c>
      <c r="H39" t="s">
        <v>97</v>
      </c>
      <c r="J39" t="s">
        <v>98</v>
      </c>
      <c r="K39" t="s">
        <v>99</v>
      </c>
      <c r="L39" t="s">
        <v>21</v>
      </c>
      <c r="M39" t="s">
        <v>100</v>
      </c>
      <c r="N39" t="s">
        <v>482</v>
      </c>
    </row>
    <row r="40" spans="1:14" ht="15" customHeight="1">
      <c r="A40" t="s">
        <v>483</v>
      </c>
      <c r="B40" t="s">
        <v>484</v>
      </c>
      <c r="C40" t="s">
        <v>94</v>
      </c>
      <c r="D40" t="s">
        <v>107</v>
      </c>
      <c r="E40" t="s">
        <v>108</v>
      </c>
      <c r="F40" t="s">
        <v>16</v>
      </c>
      <c r="G40" t="s">
        <v>29</v>
      </c>
      <c r="H40" t="s">
        <v>97</v>
      </c>
      <c r="J40" t="s">
        <v>98</v>
      </c>
      <c r="K40" t="s">
        <v>99</v>
      </c>
      <c r="L40" t="s">
        <v>21</v>
      </c>
      <c r="M40" t="s">
        <v>109</v>
      </c>
      <c r="N40" t="s">
        <v>485</v>
      </c>
    </row>
    <row r="41" spans="1:14" ht="15" customHeight="1">
      <c r="A41" t="s">
        <v>486</v>
      </c>
      <c r="B41" t="s">
        <v>487</v>
      </c>
      <c r="C41" t="s">
        <v>94</v>
      </c>
      <c r="D41" t="s">
        <v>107</v>
      </c>
      <c r="E41" t="s">
        <v>108</v>
      </c>
      <c r="F41" t="s">
        <v>16</v>
      </c>
      <c r="G41" t="s">
        <v>29</v>
      </c>
      <c r="H41" t="s">
        <v>97</v>
      </c>
      <c r="J41" t="s">
        <v>98</v>
      </c>
      <c r="K41" t="s">
        <v>99</v>
      </c>
      <c r="L41" t="s">
        <v>21</v>
      </c>
      <c r="M41" t="s">
        <v>109</v>
      </c>
      <c r="N41" t="s">
        <v>488</v>
      </c>
    </row>
    <row r="42" spans="1:14" ht="15" customHeight="1">
      <c r="A42" t="s">
        <v>489</v>
      </c>
      <c r="B42" t="s">
        <v>490</v>
      </c>
      <c r="C42" t="s">
        <v>94</v>
      </c>
      <c r="D42" t="s">
        <v>110</v>
      </c>
      <c r="E42" t="s">
        <v>111</v>
      </c>
      <c r="F42" t="s">
        <v>16</v>
      </c>
      <c r="G42" t="s">
        <v>29</v>
      </c>
      <c r="H42" t="s">
        <v>97</v>
      </c>
      <c r="J42" t="s">
        <v>98</v>
      </c>
      <c r="K42" t="s">
        <v>99</v>
      </c>
      <c r="L42" t="s">
        <v>21</v>
      </c>
      <c r="M42" t="s">
        <v>112</v>
      </c>
      <c r="N42" t="s">
        <v>491</v>
      </c>
    </row>
    <row r="43" spans="1:14" ht="15" customHeight="1">
      <c r="A43" t="s">
        <v>492</v>
      </c>
      <c r="B43" t="s">
        <v>493</v>
      </c>
      <c r="C43" t="s">
        <v>94</v>
      </c>
      <c r="D43" t="s">
        <v>110</v>
      </c>
      <c r="E43" t="s">
        <v>111</v>
      </c>
      <c r="F43" t="s">
        <v>16</v>
      </c>
      <c r="G43" t="s">
        <v>29</v>
      </c>
      <c r="H43" t="s">
        <v>97</v>
      </c>
      <c r="J43" t="s">
        <v>98</v>
      </c>
      <c r="K43" t="s">
        <v>99</v>
      </c>
      <c r="L43" t="s">
        <v>21</v>
      </c>
      <c r="M43" t="s">
        <v>112</v>
      </c>
      <c r="N43" t="s">
        <v>494</v>
      </c>
    </row>
    <row r="44" spans="1:14" ht="15" customHeight="1">
      <c r="A44" t="s">
        <v>495</v>
      </c>
      <c r="B44" t="s">
        <v>496</v>
      </c>
      <c r="C44" t="s">
        <v>94</v>
      </c>
      <c r="D44" t="s">
        <v>110</v>
      </c>
      <c r="E44" t="s">
        <v>111</v>
      </c>
      <c r="F44" t="s">
        <v>16</v>
      </c>
      <c r="G44" t="s">
        <v>29</v>
      </c>
      <c r="H44" t="s">
        <v>97</v>
      </c>
      <c r="J44" t="s">
        <v>98</v>
      </c>
      <c r="K44" t="s">
        <v>99</v>
      </c>
      <c r="L44" t="s">
        <v>21</v>
      </c>
      <c r="M44" t="s">
        <v>112</v>
      </c>
      <c r="N44" t="s">
        <v>497</v>
      </c>
    </row>
    <row r="45" spans="1:14" ht="15" customHeight="1">
      <c r="A45" t="s">
        <v>498</v>
      </c>
      <c r="B45" t="s">
        <v>499</v>
      </c>
      <c r="C45" t="s">
        <v>94</v>
      </c>
      <c r="D45" t="s">
        <v>113</v>
      </c>
      <c r="E45" t="s">
        <v>114</v>
      </c>
      <c r="F45" t="s">
        <v>16</v>
      </c>
      <c r="G45" t="s">
        <v>17</v>
      </c>
      <c r="H45" t="s">
        <v>97</v>
      </c>
      <c r="J45" t="s">
        <v>98</v>
      </c>
      <c r="K45" t="s">
        <v>99</v>
      </c>
      <c r="L45" t="s">
        <v>21</v>
      </c>
      <c r="M45" t="s">
        <v>115</v>
      </c>
      <c r="N45" t="s">
        <v>500</v>
      </c>
    </row>
    <row r="46" spans="1:14" ht="15" customHeight="1">
      <c r="A46" t="s">
        <v>501</v>
      </c>
      <c r="B46" t="s">
        <v>502</v>
      </c>
      <c r="C46" t="s">
        <v>94</v>
      </c>
      <c r="D46" t="s">
        <v>113</v>
      </c>
      <c r="E46" t="s">
        <v>114</v>
      </c>
      <c r="F46" t="s">
        <v>16</v>
      </c>
      <c r="G46" t="s">
        <v>17</v>
      </c>
      <c r="H46" t="s">
        <v>97</v>
      </c>
      <c r="J46" t="s">
        <v>98</v>
      </c>
      <c r="K46" t="s">
        <v>99</v>
      </c>
      <c r="L46" t="s">
        <v>21</v>
      </c>
      <c r="M46" t="s">
        <v>115</v>
      </c>
      <c r="N46" t="s">
        <v>503</v>
      </c>
    </row>
    <row r="47" spans="1:14" ht="15" customHeight="1">
      <c r="A47" t="s">
        <v>504</v>
      </c>
      <c r="B47" t="s">
        <v>505</v>
      </c>
      <c r="C47" t="s">
        <v>94</v>
      </c>
      <c r="D47" t="s">
        <v>113</v>
      </c>
      <c r="E47" t="s">
        <v>114</v>
      </c>
      <c r="F47" t="s">
        <v>16</v>
      </c>
      <c r="G47" t="s">
        <v>17</v>
      </c>
      <c r="H47" t="s">
        <v>97</v>
      </c>
      <c r="J47" t="s">
        <v>98</v>
      </c>
      <c r="K47" t="s">
        <v>99</v>
      </c>
      <c r="L47" t="s">
        <v>21</v>
      </c>
      <c r="M47" t="s">
        <v>115</v>
      </c>
      <c r="N47" t="s">
        <v>506</v>
      </c>
    </row>
    <row r="48" spans="1:14" ht="15" customHeight="1">
      <c r="A48" t="s">
        <v>507</v>
      </c>
      <c r="B48" t="s">
        <v>508</v>
      </c>
      <c r="C48" t="s">
        <v>119</v>
      </c>
      <c r="D48" t="s">
        <v>120</v>
      </c>
      <c r="E48" t="s">
        <v>121</v>
      </c>
      <c r="F48" t="s">
        <v>16</v>
      </c>
      <c r="G48" t="s">
        <v>17</v>
      </c>
      <c r="H48" t="s">
        <v>122</v>
      </c>
      <c r="J48" t="s">
        <v>33</v>
      </c>
      <c r="K48" t="s">
        <v>20</v>
      </c>
      <c r="L48" t="s">
        <v>21</v>
      </c>
      <c r="M48" t="s">
        <v>123</v>
      </c>
      <c r="N48" t="s">
        <v>509</v>
      </c>
    </row>
    <row r="49" spans="1:14" ht="15" customHeight="1">
      <c r="A49" t="s">
        <v>510</v>
      </c>
      <c r="B49" t="s">
        <v>511</v>
      </c>
      <c r="C49" t="s">
        <v>119</v>
      </c>
      <c r="D49" t="s">
        <v>120</v>
      </c>
      <c r="E49" t="s">
        <v>121</v>
      </c>
      <c r="F49" t="s">
        <v>16</v>
      </c>
      <c r="G49" t="s">
        <v>17</v>
      </c>
      <c r="H49" t="s">
        <v>122</v>
      </c>
      <c r="J49" t="s">
        <v>33</v>
      </c>
      <c r="K49" t="s">
        <v>20</v>
      </c>
      <c r="L49" t="s">
        <v>21</v>
      </c>
      <c r="M49" t="s">
        <v>123</v>
      </c>
      <c r="N49" t="s">
        <v>512</v>
      </c>
    </row>
    <row r="50" spans="1:14" ht="15" customHeight="1">
      <c r="A50" t="s">
        <v>513</v>
      </c>
      <c r="B50" t="s">
        <v>514</v>
      </c>
      <c r="C50" t="s">
        <v>119</v>
      </c>
      <c r="D50" t="s">
        <v>120</v>
      </c>
      <c r="E50" t="s">
        <v>121</v>
      </c>
      <c r="F50" t="s">
        <v>16</v>
      </c>
      <c r="G50" t="s">
        <v>17</v>
      </c>
      <c r="H50" t="s">
        <v>122</v>
      </c>
      <c r="J50" t="s">
        <v>33</v>
      </c>
      <c r="K50" t="s">
        <v>20</v>
      </c>
      <c r="L50" t="s">
        <v>21</v>
      </c>
      <c r="M50" t="s">
        <v>123</v>
      </c>
      <c r="N50" t="s">
        <v>515</v>
      </c>
    </row>
    <row r="51" spans="1:14" ht="15" customHeight="1">
      <c r="A51" t="s">
        <v>516</v>
      </c>
      <c r="B51" t="s">
        <v>517</v>
      </c>
      <c r="C51" t="s">
        <v>119</v>
      </c>
      <c r="D51" t="s">
        <v>124</v>
      </c>
      <c r="E51" t="s">
        <v>125</v>
      </c>
      <c r="F51" t="s">
        <v>16</v>
      </c>
      <c r="G51" t="s">
        <v>17</v>
      </c>
      <c r="H51" t="s">
        <v>122</v>
      </c>
      <c r="J51" t="s">
        <v>33</v>
      </c>
      <c r="K51" t="s">
        <v>20</v>
      </c>
      <c r="L51" t="s">
        <v>21</v>
      </c>
      <c r="M51" t="s">
        <v>126</v>
      </c>
      <c r="N51" t="s">
        <v>518</v>
      </c>
    </row>
    <row r="52" spans="1:14" ht="15" customHeight="1">
      <c r="A52" t="s">
        <v>519</v>
      </c>
      <c r="B52" t="s">
        <v>418</v>
      </c>
      <c r="C52" t="s">
        <v>119</v>
      </c>
      <c r="D52" t="s">
        <v>124</v>
      </c>
      <c r="E52" t="s">
        <v>125</v>
      </c>
      <c r="F52" t="s">
        <v>16</v>
      </c>
      <c r="G52" t="s">
        <v>17</v>
      </c>
      <c r="H52" t="s">
        <v>122</v>
      </c>
      <c r="J52" t="s">
        <v>33</v>
      </c>
      <c r="K52" t="s">
        <v>20</v>
      </c>
      <c r="L52" t="s">
        <v>21</v>
      </c>
      <c r="M52" t="s">
        <v>126</v>
      </c>
      <c r="N52" t="s">
        <v>520</v>
      </c>
    </row>
    <row r="53" spans="1:14" ht="15" customHeight="1">
      <c r="A53" t="s">
        <v>521</v>
      </c>
      <c r="B53" t="s">
        <v>522</v>
      </c>
      <c r="C53" t="s">
        <v>119</v>
      </c>
      <c r="D53" t="s">
        <v>130</v>
      </c>
      <c r="E53" t="s">
        <v>131</v>
      </c>
      <c r="F53" t="s">
        <v>16</v>
      </c>
      <c r="G53" t="s">
        <v>17</v>
      </c>
      <c r="H53" t="s">
        <v>122</v>
      </c>
      <c r="J53" t="s">
        <v>33</v>
      </c>
      <c r="K53" t="s">
        <v>20</v>
      </c>
      <c r="L53" t="s">
        <v>21</v>
      </c>
      <c r="M53" t="s">
        <v>132</v>
      </c>
      <c r="N53" t="s">
        <v>523</v>
      </c>
    </row>
    <row r="54" spans="1:14" ht="15" customHeight="1">
      <c r="A54" t="s">
        <v>524</v>
      </c>
      <c r="B54" t="s">
        <v>525</v>
      </c>
      <c r="C54" t="s">
        <v>119</v>
      </c>
      <c r="D54" t="s">
        <v>130</v>
      </c>
      <c r="E54" t="s">
        <v>131</v>
      </c>
      <c r="F54" t="s">
        <v>16</v>
      </c>
      <c r="G54" t="s">
        <v>17</v>
      </c>
      <c r="H54" t="s">
        <v>122</v>
      </c>
      <c r="J54" t="s">
        <v>33</v>
      </c>
      <c r="K54" t="s">
        <v>20</v>
      </c>
      <c r="L54" t="s">
        <v>21</v>
      </c>
      <c r="M54" t="s">
        <v>132</v>
      </c>
      <c r="N54" t="s">
        <v>526</v>
      </c>
    </row>
    <row r="55" spans="1:14" ht="15" customHeight="1">
      <c r="A55" t="s">
        <v>527</v>
      </c>
      <c r="B55" t="s">
        <v>528</v>
      </c>
      <c r="C55" t="s">
        <v>119</v>
      </c>
      <c r="D55" t="s">
        <v>130</v>
      </c>
      <c r="E55" t="s">
        <v>131</v>
      </c>
      <c r="F55" t="s">
        <v>16</v>
      </c>
      <c r="G55" t="s">
        <v>17</v>
      </c>
      <c r="H55" t="s">
        <v>122</v>
      </c>
      <c r="J55" t="s">
        <v>33</v>
      </c>
      <c r="K55" t="s">
        <v>20</v>
      </c>
      <c r="L55" t="s">
        <v>21</v>
      </c>
      <c r="M55" t="s">
        <v>132</v>
      </c>
      <c r="N55" t="s">
        <v>529</v>
      </c>
    </row>
    <row r="56" spans="1:14" ht="15" customHeight="1">
      <c r="A56" t="s">
        <v>530</v>
      </c>
      <c r="B56" t="s">
        <v>531</v>
      </c>
      <c r="C56" t="s">
        <v>119</v>
      </c>
      <c r="D56" t="s">
        <v>130</v>
      </c>
      <c r="E56" t="s">
        <v>131</v>
      </c>
      <c r="F56" t="s">
        <v>16</v>
      </c>
      <c r="G56" t="s">
        <v>17</v>
      </c>
      <c r="H56" t="s">
        <v>122</v>
      </c>
      <c r="J56" t="s">
        <v>33</v>
      </c>
      <c r="K56" t="s">
        <v>20</v>
      </c>
      <c r="L56" t="s">
        <v>21</v>
      </c>
      <c r="M56" t="s">
        <v>132</v>
      </c>
      <c r="N56" t="s">
        <v>532</v>
      </c>
    </row>
    <row r="57" spans="1:14" ht="15" customHeight="1">
      <c r="A57" t="s">
        <v>533</v>
      </c>
      <c r="B57" t="s">
        <v>534</v>
      </c>
      <c r="C57" t="s">
        <v>119</v>
      </c>
      <c r="D57" t="s">
        <v>83</v>
      </c>
      <c r="E57" t="s">
        <v>133</v>
      </c>
      <c r="F57" t="s">
        <v>16</v>
      </c>
      <c r="G57" t="s">
        <v>17</v>
      </c>
      <c r="H57" t="s">
        <v>122</v>
      </c>
      <c r="J57" t="s">
        <v>33</v>
      </c>
      <c r="K57" t="s">
        <v>20</v>
      </c>
      <c r="L57" t="s">
        <v>21</v>
      </c>
      <c r="M57" t="s">
        <v>134</v>
      </c>
      <c r="N57" t="s">
        <v>535</v>
      </c>
    </row>
    <row r="58" spans="1:14" ht="15" customHeight="1">
      <c r="A58" t="s">
        <v>536</v>
      </c>
      <c r="B58" t="s">
        <v>537</v>
      </c>
      <c r="C58" t="s">
        <v>119</v>
      </c>
      <c r="D58" t="s">
        <v>83</v>
      </c>
      <c r="E58" t="s">
        <v>133</v>
      </c>
      <c r="F58" t="s">
        <v>16</v>
      </c>
      <c r="G58" t="s">
        <v>17</v>
      </c>
      <c r="H58" t="s">
        <v>122</v>
      </c>
      <c r="J58" t="s">
        <v>33</v>
      </c>
      <c r="K58" t="s">
        <v>20</v>
      </c>
      <c r="L58" t="s">
        <v>21</v>
      </c>
      <c r="M58" t="s">
        <v>134</v>
      </c>
      <c r="N58" t="s">
        <v>538</v>
      </c>
    </row>
    <row r="59" spans="1:14" ht="15" customHeight="1">
      <c r="A59" t="s">
        <v>539</v>
      </c>
      <c r="B59" t="s">
        <v>540</v>
      </c>
      <c r="C59" t="s">
        <v>119</v>
      </c>
      <c r="D59" t="s">
        <v>83</v>
      </c>
      <c r="E59" t="s">
        <v>133</v>
      </c>
      <c r="F59" t="s">
        <v>16</v>
      </c>
      <c r="G59" t="s">
        <v>17</v>
      </c>
      <c r="H59" t="s">
        <v>122</v>
      </c>
      <c r="J59" t="s">
        <v>33</v>
      </c>
      <c r="K59" t="s">
        <v>20</v>
      </c>
      <c r="L59" t="s">
        <v>21</v>
      </c>
      <c r="M59" t="s">
        <v>134</v>
      </c>
      <c r="N59" t="s">
        <v>541</v>
      </c>
    </row>
    <row r="60" spans="1:14" ht="15" customHeight="1">
      <c r="A60" t="s">
        <v>542</v>
      </c>
      <c r="B60" t="s">
        <v>543</v>
      </c>
      <c r="C60" t="s">
        <v>142</v>
      </c>
      <c r="D60" t="s">
        <v>143</v>
      </c>
      <c r="E60" t="s">
        <v>144</v>
      </c>
      <c r="F60" t="s">
        <v>16</v>
      </c>
      <c r="G60" t="s">
        <v>29</v>
      </c>
      <c r="H60" t="s">
        <v>18</v>
      </c>
      <c r="I60" t="s">
        <v>145</v>
      </c>
      <c r="J60" t="s">
        <v>146</v>
      </c>
      <c r="K60" t="s">
        <v>147</v>
      </c>
      <c r="L60" t="s">
        <v>21</v>
      </c>
      <c r="M60" t="s">
        <v>148</v>
      </c>
      <c r="N60" t="s">
        <v>544</v>
      </c>
    </row>
    <row r="61" spans="1:14" ht="15" customHeight="1">
      <c r="A61" t="s">
        <v>545</v>
      </c>
      <c r="B61" t="s">
        <v>546</v>
      </c>
      <c r="C61" t="s">
        <v>142</v>
      </c>
      <c r="D61" t="s">
        <v>143</v>
      </c>
      <c r="E61" t="s">
        <v>144</v>
      </c>
      <c r="F61" t="s">
        <v>16</v>
      </c>
      <c r="G61" t="s">
        <v>29</v>
      </c>
      <c r="H61" t="s">
        <v>18</v>
      </c>
      <c r="I61" t="s">
        <v>145</v>
      </c>
      <c r="J61" t="s">
        <v>146</v>
      </c>
      <c r="K61" t="s">
        <v>147</v>
      </c>
      <c r="L61" t="s">
        <v>21</v>
      </c>
      <c r="M61" t="s">
        <v>148</v>
      </c>
      <c r="N61" t="s">
        <v>547</v>
      </c>
    </row>
    <row r="62" spans="1:14" ht="15" customHeight="1">
      <c r="A62" t="s">
        <v>548</v>
      </c>
      <c r="B62" t="s">
        <v>549</v>
      </c>
      <c r="C62" t="s">
        <v>142</v>
      </c>
      <c r="D62" t="s">
        <v>143</v>
      </c>
      <c r="E62" t="s">
        <v>144</v>
      </c>
      <c r="F62" t="s">
        <v>16</v>
      </c>
      <c r="G62" t="s">
        <v>29</v>
      </c>
      <c r="H62" t="s">
        <v>18</v>
      </c>
      <c r="I62" t="s">
        <v>145</v>
      </c>
      <c r="J62" t="s">
        <v>146</v>
      </c>
      <c r="K62" t="s">
        <v>147</v>
      </c>
      <c r="L62" t="s">
        <v>21</v>
      </c>
      <c r="M62" t="s">
        <v>148</v>
      </c>
      <c r="N62" t="s">
        <v>550</v>
      </c>
    </row>
    <row r="63" spans="1:14" ht="15" customHeight="1">
      <c r="A63" t="s">
        <v>551</v>
      </c>
      <c r="B63" t="s">
        <v>552</v>
      </c>
      <c r="C63" t="s">
        <v>142</v>
      </c>
      <c r="D63" t="s">
        <v>143</v>
      </c>
      <c r="E63" t="s">
        <v>144</v>
      </c>
      <c r="F63" t="s">
        <v>16</v>
      </c>
      <c r="G63" t="s">
        <v>29</v>
      </c>
      <c r="H63" t="s">
        <v>18</v>
      </c>
      <c r="I63" t="s">
        <v>145</v>
      </c>
      <c r="J63" t="s">
        <v>146</v>
      </c>
      <c r="K63" t="s">
        <v>147</v>
      </c>
      <c r="L63" t="s">
        <v>21</v>
      </c>
      <c r="M63" t="s">
        <v>148</v>
      </c>
      <c r="N63" t="s">
        <v>553</v>
      </c>
    </row>
    <row r="64" spans="1:14" ht="15" customHeight="1">
      <c r="A64" t="s">
        <v>554</v>
      </c>
      <c r="B64" t="s">
        <v>555</v>
      </c>
      <c r="C64" t="s">
        <v>142</v>
      </c>
      <c r="D64" t="s">
        <v>149</v>
      </c>
      <c r="E64" t="s">
        <v>150</v>
      </c>
      <c r="F64" t="s">
        <v>16</v>
      </c>
      <c r="G64" t="s">
        <v>29</v>
      </c>
      <c r="H64" t="s">
        <v>18</v>
      </c>
      <c r="I64" t="s">
        <v>151</v>
      </c>
      <c r="J64" t="s">
        <v>146</v>
      </c>
      <c r="K64" t="s">
        <v>147</v>
      </c>
      <c r="L64" t="s">
        <v>21</v>
      </c>
      <c r="M64" t="s">
        <v>152</v>
      </c>
      <c r="N64" t="s">
        <v>556</v>
      </c>
    </row>
    <row r="65" spans="1:14" ht="15" customHeight="1">
      <c r="A65" t="s">
        <v>557</v>
      </c>
      <c r="B65" t="s">
        <v>558</v>
      </c>
      <c r="C65" t="s">
        <v>142</v>
      </c>
      <c r="D65" t="s">
        <v>149</v>
      </c>
      <c r="E65" t="s">
        <v>150</v>
      </c>
      <c r="F65" t="s">
        <v>16</v>
      </c>
      <c r="G65" t="s">
        <v>29</v>
      </c>
      <c r="H65" t="s">
        <v>18</v>
      </c>
      <c r="I65" t="s">
        <v>151</v>
      </c>
      <c r="J65" t="s">
        <v>146</v>
      </c>
      <c r="K65" t="s">
        <v>147</v>
      </c>
      <c r="L65" t="s">
        <v>21</v>
      </c>
      <c r="M65" t="s">
        <v>152</v>
      </c>
      <c r="N65" t="s">
        <v>559</v>
      </c>
    </row>
    <row r="66" spans="1:14" ht="15" customHeight="1">
      <c r="A66" t="s">
        <v>560</v>
      </c>
      <c r="B66" t="s">
        <v>561</v>
      </c>
      <c r="C66" t="s">
        <v>142</v>
      </c>
      <c r="D66" t="s">
        <v>149</v>
      </c>
      <c r="E66" t="s">
        <v>150</v>
      </c>
      <c r="F66" t="s">
        <v>16</v>
      </c>
      <c r="G66" t="s">
        <v>29</v>
      </c>
      <c r="H66" t="s">
        <v>18</v>
      </c>
      <c r="I66" t="s">
        <v>151</v>
      </c>
      <c r="J66" t="s">
        <v>146</v>
      </c>
      <c r="K66" t="s">
        <v>147</v>
      </c>
      <c r="L66" t="s">
        <v>21</v>
      </c>
      <c r="M66" t="s">
        <v>152</v>
      </c>
      <c r="N66" t="s">
        <v>562</v>
      </c>
    </row>
    <row r="67" spans="1:14" ht="15" customHeight="1">
      <c r="A67" t="s">
        <v>563</v>
      </c>
      <c r="B67" t="s">
        <v>564</v>
      </c>
      <c r="C67" t="s">
        <v>142</v>
      </c>
      <c r="D67" t="s">
        <v>149</v>
      </c>
      <c r="E67" t="s">
        <v>150</v>
      </c>
      <c r="F67" t="s">
        <v>16</v>
      </c>
      <c r="G67" t="s">
        <v>29</v>
      </c>
      <c r="H67" t="s">
        <v>18</v>
      </c>
      <c r="I67" t="s">
        <v>151</v>
      </c>
      <c r="J67" t="s">
        <v>146</v>
      </c>
      <c r="K67" t="s">
        <v>147</v>
      </c>
      <c r="L67" t="s">
        <v>21</v>
      </c>
      <c r="M67" t="s">
        <v>152</v>
      </c>
      <c r="N67" t="s">
        <v>565</v>
      </c>
    </row>
    <row r="68" spans="1:14" ht="15" customHeight="1">
      <c r="A68" t="s">
        <v>566</v>
      </c>
      <c r="B68" t="s">
        <v>154</v>
      </c>
      <c r="C68" t="s">
        <v>142</v>
      </c>
      <c r="D68" t="s">
        <v>153</v>
      </c>
      <c r="E68" t="s">
        <v>154</v>
      </c>
      <c r="F68" t="s">
        <v>16</v>
      </c>
      <c r="G68" t="s">
        <v>29</v>
      </c>
      <c r="H68" t="s">
        <v>18</v>
      </c>
      <c r="I68" t="s">
        <v>155</v>
      </c>
      <c r="J68" t="s">
        <v>146</v>
      </c>
      <c r="K68" t="s">
        <v>147</v>
      </c>
      <c r="L68" t="s">
        <v>21</v>
      </c>
      <c r="M68" t="s">
        <v>156</v>
      </c>
      <c r="N68" t="s">
        <v>567</v>
      </c>
    </row>
    <row r="69" spans="1:14" ht="15" customHeight="1">
      <c r="A69" t="s">
        <v>568</v>
      </c>
      <c r="B69" t="s">
        <v>569</v>
      </c>
      <c r="C69" t="s">
        <v>142</v>
      </c>
      <c r="D69" t="s">
        <v>153</v>
      </c>
      <c r="E69" t="s">
        <v>154</v>
      </c>
      <c r="F69" t="s">
        <v>16</v>
      </c>
      <c r="G69" t="s">
        <v>29</v>
      </c>
      <c r="H69" t="s">
        <v>18</v>
      </c>
      <c r="I69" t="s">
        <v>155</v>
      </c>
      <c r="J69" t="s">
        <v>146</v>
      </c>
      <c r="K69" t="s">
        <v>147</v>
      </c>
      <c r="L69" t="s">
        <v>21</v>
      </c>
      <c r="M69" t="s">
        <v>156</v>
      </c>
      <c r="N69" t="s">
        <v>570</v>
      </c>
    </row>
    <row r="70" spans="1:14" ht="15" customHeight="1">
      <c r="A70" t="s">
        <v>571</v>
      </c>
      <c r="B70" t="s">
        <v>572</v>
      </c>
      <c r="C70" t="s">
        <v>142</v>
      </c>
      <c r="D70" t="s">
        <v>153</v>
      </c>
      <c r="E70" t="s">
        <v>154</v>
      </c>
      <c r="F70" t="s">
        <v>16</v>
      </c>
      <c r="G70" t="s">
        <v>29</v>
      </c>
      <c r="H70" t="s">
        <v>18</v>
      </c>
      <c r="I70" t="s">
        <v>155</v>
      </c>
      <c r="J70" t="s">
        <v>146</v>
      </c>
      <c r="K70" t="s">
        <v>147</v>
      </c>
      <c r="L70" t="s">
        <v>21</v>
      </c>
      <c r="M70" t="s">
        <v>156</v>
      </c>
      <c r="N70" t="s">
        <v>573</v>
      </c>
    </row>
    <row r="71" spans="1:14" ht="15" customHeight="1">
      <c r="A71" t="s">
        <v>574</v>
      </c>
      <c r="B71" t="s">
        <v>575</v>
      </c>
      <c r="C71" t="s">
        <v>142</v>
      </c>
      <c r="D71" t="s">
        <v>160</v>
      </c>
      <c r="E71" t="s">
        <v>161</v>
      </c>
      <c r="F71" t="s">
        <v>16</v>
      </c>
      <c r="G71" t="s">
        <v>17</v>
      </c>
      <c r="H71" t="s">
        <v>18</v>
      </c>
      <c r="J71" t="s">
        <v>146</v>
      </c>
      <c r="K71" t="s">
        <v>147</v>
      </c>
      <c r="L71" t="s">
        <v>21</v>
      </c>
      <c r="M71" t="s">
        <v>162</v>
      </c>
      <c r="N71" t="s">
        <v>576</v>
      </c>
    </row>
    <row r="72" spans="1:14" ht="15" customHeight="1">
      <c r="A72" t="s">
        <v>577</v>
      </c>
      <c r="B72" t="s">
        <v>578</v>
      </c>
      <c r="C72" t="s">
        <v>142</v>
      </c>
      <c r="D72" t="s">
        <v>160</v>
      </c>
      <c r="E72" t="s">
        <v>161</v>
      </c>
      <c r="F72" t="s">
        <v>16</v>
      </c>
      <c r="G72" t="s">
        <v>17</v>
      </c>
      <c r="H72" t="s">
        <v>18</v>
      </c>
      <c r="J72" t="s">
        <v>146</v>
      </c>
      <c r="K72" t="s">
        <v>147</v>
      </c>
      <c r="L72" t="s">
        <v>21</v>
      </c>
      <c r="M72" t="s">
        <v>162</v>
      </c>
      <c r="N72" t="s">
        <v>579</v>
      </c>
    </row>
    <row r="73" spans="1:14" ht="15" customHeight="1">
      <c r="A73" t="s">
        <v>580</v>
      </c>
      <c r="B73" t="s">
        <v>581</v>
      </c>
      <c r="C73" t="s">
        <v>193</v>
      </c>
      <c r="D73" t="s">
        <v>194</v>
      </c>
      <c r="E73" t="s">
        <v>195</v>
      </c>
      <c r="F73" t="s">
        <v>16</v>
      </c>
      <c r="G73" t="s">
        <v>17</v>
      </c>
      <c r="H73" t="s">
        <v>196</v>
      </c>
      <c r="J73" t="s">
        <v>197</v>
      </c>
      <c r="K73" t="s">
        <v>198</v>
      </c>
      <c r="L73" t="s">
        <v>199</v>
      </c>
      <c r="M73" t="s">
        <v>200</v>
      </c>
      <c r="N73" t="s">
        <v>582</v>
      </c>
    </row>
    <row r="74" spans="1:14" ht="15" customHeight="1">
      <c r="A74" t="s">
        <v>583</v>
      </c>
      <c r="B74" t="s">
        <v>584</v>
      </c>
      <c r="C74" t="s">
        <v>193</v>
      </c>
      <c r="D74" t="s">
        <v>194</v>
      </c>
      <c r="E74" t="s">
        <v>195</v>
      </c>
      <c r="F74" t="s">
        <v>16</v>
      </c>
      <c r="G74" t="s">
        <v>17</v>
      </c>
      <c r="H74" t="s">
        <v>196</v>
      </c>
      <c r="J74" t="s">
        <v>197</v>
      </c>
      <c r="K74" t="s">
        <v>198</v>
      </c>
      <c r="L74" t="s">
        <v>199</v>
      </c>
      <c r="M74" t="s">
        <v>200</v>
      </c>
      <c r="N74" t="s">
        <v>585</v>
      </c>
    </row>
    <row r="75" spans="1:14" ht="15" customHeight="1">
      <c r="A75" t="s">
        <v>586</v>
      </c>
      <c r="B75" t="s">
        <v>587</v>
      </c>
      <c r="C75" t="s">
        <v>193</v>
      </c>
      <c r="D75" t="s">
        <v>194</v>
      </c>
      <c r="E75" t="s">
        <v>195</v>
      </c>
      <c r="F75" t="s">
        <v>16</v>
      </c>
      <c r="G75" t="s">
        <v>17</v>
      </c>
      <c r="H75" t="s">
        <v>196</v>
      </c>
      <c r="J75" t="s">
        <v>197</v>
      </c>
      <c r="K75" t="s">
        <v>198</v>
      </c>
      <c r="L75" t="s">
        <v>199</v>
      </c>
      <c r="M75" t="s">
        <v>200</v>
      </c>
      <c r="N75" t="s">
        <v>588</v>
      </c>
    </row>
    <row r="76" spans="1:14" ht="15" customHeight="1">
      <c r="A76" t="s">
        <v>589</v>
      </c>
      <c r="B76" t="s">
        <v>590</v>
      </c>
      <c r="C76" t="s">
        <v>193</v>
      </c>
      <c r="D76" t="s">
        <v>194</v>
      </c>
      <c r="E76" t="s">
        <v>195</v>
      </c>
      <c r="F76" t="s">
        <v>16</v>
      </c>
      <c r="G76" t="s">
        <v>17</v>
      </c>
      <c r="H76" t="s">
        <v>196</v>
      </c>
      <c r="J76" t="s">
        <v>197</v>
      </c>
      <c r="K76" t="s">
        <v>198</v>
      </c>
      <c r="L76" t="s">
        <v>199</v>
      </c>
      <c r="M76" t="s">
        <v>200</v>
      </c>
      <c r="N76" t="s">
        <v>591</v>
      </c>
    </row>
    <row r="77" spans="1:14" ht="15" customHeight="1">
      <c r="A77" t="s">
        <v>592</v>
      </c>
      <c r="B77" t="s">
        <v>593</v>
      </c>
      <c r="C77" t="s">
        <v>193</v>
      </c>
      <c r="D77" t="s">
        <v>201</v>
      </c>
      <c r="E77" t="s">
        <v>202</v>
      </c>
      <c r="F77" t="s">
        <v>16</v>
      </c>
      <c r="G77" t="s">
        <v>17</v>
      </c>
      <c r="H77" t="s">
        <v>196</v>
      </c>
      <c r="I77" t="s">
        <v>83</v>
      </c>
      <c r="J77" t="s">
        <v>197</v>
      </c>
      <c r="K77" t="s">
        <v>198</v>
      </c>
      <c r="L77" t="s">
        <v>199</v>
      </c>
      <c r="M77" t="s">
        <v>203</v>
      </c>
      <c r="N77" t="s">
        <v>594</v>
      </c>
    </row>
    <row r="78" spans="1:14" ht="15" customHeight="1">
      <c r="A78" t="s">
        <v>595</v>
      </c>
      <c r="B78" t="s">
        <v>596</v>
      </c>
      <c r="C78" t="s">
        <v>193</v>
      </c>
      <c r="D78" t="s">
        <v>201</v>
      </c>
      <c r="E78" t="s">
        <v>202</v>
      </c>
      <c r="F78" t="s">
        <v>16</v>
      </c>
      <c r="G78" t="s">
        <v>17</v>
      </c>
      <c r="H78" t="s">
        <v>196</v>
      </c>
      <c r="I78" t="s">
        <v>83</v>
      </c>
      <c r="J78" t="s">
        <v>197</v>
      </c>
      <c r="K78" t="s">
        <v>198</v>
      </c>
      <c r="L78" t="s">
        <v>199</v>
      </c>
      <c r="M78" t="s">
        <v>203</v>
      </c>
      <c r="N78" t="s">
        <v>597</v>
      </c>
    </row>
    <row r="79" spans="1:14" ht="15" customHeight="1">
      <c r="A79" t="s">
        <v>598</v>
      </c>
      <c r="B79" t="s">
        <v>599</v>
      </c>
      <c r="C79" t="s">
        <v>193</v>
      </c>
      <c r="D79" t="s">
        <v>201</v>
      </c>
      <c r="E79" t="s">
        <v>202</v>
      </c>
      <c r="F79" t="s">
        <v>16</v>
      </c>
      <c r="G79" t="s">
        <v>17</v>
      </c>
      <c r="H79" t="s">
        <v>196</v>
      </c>
      <c r="I79" t="s">
        <v>83</v>
      </c>
      <c r="J79" t="s">
        <v>197</v>
      </c>
      <c r="K79" t="s">
        <v>198</v>
      </c>
      <c r="L79" t="s">
        <v>199</v>
      </c>
      <c r="M79" t="s">
        <v>203</v>
      </c>
      <c r="N79" t="s">
        <v>600</v>
      </c>
    </row>
    <row r="80" spans="1:14" ht="15" customHeight="1">
      <c r="A80" t="s">
        <v>601</v>
      </c>
      <c r="B80" t="s">
        <v>602</v>
      </c>
      <c r="C80" t="s">
        <v>193</v>
      </c>
      <c r="D80" t="s">
        <v>201</v>
      </c>
      <c r="E80" t="s">
        <v>202</v>
      </c>
      <c r="F80" t="s">
        <v>16</v>
      </c>
      <c r="G80" t="s">
        <v>17</v>
      </c>
      <c r="H80" t="s">
        <v>196</v>
      </c>
      <c r="I80" t="s">
        <v>83</v>
      </c>
      <c r="J80" t="s">
        <v>197</v>
      </c>
      <c r="K80" t="s">
        <v>198</v>
      </c>
      <c r="L80" t="s">
        <v>199</v>
      </c>
      <c r="M80" t="s">
        <v>203</v>
      </c>
      <c r="N80" t="s">
        <v>603</v>
      </c>
    </row>
    <row r="81" spans="1:14" ht="15" customHeight="1">
      <c r="A81" t="s">
        <v>604</v>
      </c>
      <c r="B81" t="s">
        <v>605</v>
      </c>
      <c r="C81" t="s">
        <v>193</v>
      </c>
      <c r="D81" t="s">
        <v>204</v>
      </c>
      <c r="E81" t="s">
        <v>205</v>
      </c>
      <c r="F81" t="s">
        <v>16</v>
      </c>
      <c r="G81" t="s">
        <v>17</v>
      </c>
      <c r="H81" t="s">
        <v>196</v>
      </c>
      <c r="J81" t="s">
        <v>197</v>
      </c>
      <c r="K81" t="s">
        <v>198</v>
      </c>
      <c r="L81" t="s">
        <v>199</v>
      </c>
      <c r="M81" t="s">
        <v>206</v>
      </c>
      <c r="N81" t="s">
        <v>606</v>
      </c>
    </row>
    <row r="82" spans="1:14" ht="15" customHeight="1">
      <c r="A82" t="s">
        <v>607</v>
      </c>
      <c r="B82" t="s">
        <v>608</v>
      </c>
      <c r="C82" t="s">
        <v>193</v>
      </c>
      <c r="D82" t="s">
        <v>204</v>
      </c>
      <c r="E82" t="s">
        <v>205</v>
      </c>
      <c r="F82" t="s">
        <v>16</v>
      </c>
      <c r="G82" t="s">
        <v>17</v>
      </c>
      <c r="H82" t="s">
        <v>196</v>
      </c>
      <c r="J82" t="s">
        <v>197</v>
      </c>
      <c r="K82" t="s">
        <v>198</v>
      </c>
      <c r="L82" t="s">
        <v>199</v>
      </c>
      <c r="M82" t="s">
        <v>206</v>
      </c>
      <c r="N82" t="s">
        <v>609</v>
      </c>
    </row>
    <row r="83" spans="1:14" ht="15" customHeight="1">
      <c r="A83" t="s">
        <v>610</v>
      </c>
      <c r="B83" t="s">
        <v>611</v>
      </c>
      <c r="C83" t="s">
        <v>193</v>
      </c>
      <c r="D83" t="s">
        <v>204</v>
      </c>
      <c r="E83" t="s">
        <v>205</v>
      </c>
      <c r="F83" t="s">
        <v>16</v>
      </c>
      <c r="G83" t="s">
        <v>17</v>
      </c>
      <c r="H83" t="s">
        <v>196</v>
      </c>
      <c r="J83" t="s">
        <v>197</v>
      </c>
      <c r="K83" t="s">
        <v>198</v>
      </c>
      <c r="L83" t="s">
        <v>199</v>
      </c>
      <c r="M83" t="s">
        <v>206</v>
      </c>
      <c r="N83" t="s">
        <v>612</v>
      </c>
    </row>
    <row r="84" spans="1:14" ht="15" customHeight="1">
      <c r="A84" t="s">
        <v>613</v>
      </c>
      <c r="B84" t="s">
        <v>614</v>
      </c>
      <c r="C84" t="s">
        <v>193</v>
      </c>
      <c r="D84" t="s">
        <v>204</v>
      </c>
      <c r="E84" t="s">
        <v>205</v>
      </c>
      <c r="F84" t="s">
        <v>16</v>
      </c>
      <c r="G84" t="s">
        <v>17</v>
      </c>
      <c r="H84" t="s">
        <v>196</v>
      </c>
      <c r="J84" t="s">
        <v>197</v>
      </c>
      <c r="K84" t="s">
        <v>198</v>
      </c>
      <c r="L84" t="s">
        <v>199</v>
      </c>
      <c r="M84" t="s">
        <v>206</v>
      </c>
      <c r="N84" t="s">
        <v>615</v>
      </c>
    </row>
    <row r="85" spans="1:14" ht="15" customHeight="1">
      <c r="A85" t="s">
        <v>616</v>
      </c>
      <c r="B85" t="s">
        <v>617</v>
      </c>
      <c r="C85" t="s">
        <v>193</v>
      </c>
      <c r="D85" t="s">
        <v>207</v>
      </c>
      <c r="E85" t="s">
        <v>208</v>
      </c>
      <c r="F85" t="s">
        <v>16</v>
      </c>
      <c r="G85" t="s">
        <v>17</v>
      </c>
      <c r="H85" t="s">
        <v>209</v>
      </c>
      <c r="I85" t="s">
        <v>210</v>
      </c>
      <c r="J85" t="s">
        <v>197</v>
      </c>
      <c r="K85" t="s">
        <v>198</v>
      </c>
      <c r="L85" t="s">
        <v>176</v>
      </c>
      <c r="M85" t="s">
        <v>211</v>
      </c>
      <c r="N85" t="s">
        <v>618</v>
      </c>
    </row>
    <row r="86" spans="1:14" ht="15" customHeight="1">
      <c r="A86" t="s">
        <v>619</v>
      </c>
      <c r="B86" t="s">
        <v>620</v>
      </c>
      <c r="C86" t="s">
        <v>193</v>
      </c>
      <c r="D86" t="s">
        <v>207</v>
      </c>
      <c r="E86" t="s">
        <v>208</v>
      </c>
      <c r="F86" t="s">
        <v>16</v>
      </c>
      <c r="G86" t="s">
        <v>17</v>
      </c>
      <c r="H86" t="s">
        <v>209</v>
      </c>
      <c r="I86" t="s">
        <v>210</v>
      </c>
      <c r="J86" t="s">
        <v>197</v>
      </c>
      <c r="K86" t="s">
        <v>198</v>
      </c>
      <c r="L86" t="s">
        <v>176</v>
      </c>
      <c r="M86" t="s">
        <v>211</v>
      </c>
      <c r="N86" t="s">
        <v>621</v>
      </c>
    </row>
    <row r="87" spans="1:14" ht="15" customHeight="1">
      <c r="A87" t="s">
        <v>622</v>
      </c>
      <c r="B87" t="s">
        <v>623</v>
      </c>
      <c r="C87" t="s">
        <v>193</v>
      </c>
      <c r="D87" t="s">
        <v>207</v>
      </c>
      <c r="E87" t="s">
        <v>208</v>
      </c>
      <c r="F87" t="s">
        <v>16</v>
      </c>
      <c r="G87" t="s">
        <v>17</v>
      </c>
      <c r="H87" t="s">
        <v>209</v>
      </c>
      <c r="I87" t="s">
        <v>210</v>
      </c>
      <c r="J87" t="s">
        <v>197</v>
      </c>
      <c r="K87" t="s">
        <v>198</v>
      </c>
      <c r="L87" t="s">
        <v>176</v>
      </c>
      <c r="M87" t="s">
        <v>211</v>
      </c>
      <c r="N87" t="s">
        <v>624</v>
      </c>
    </row>
    <row r="88" spans="1:14" ht="15" customHeight="1">
      <c r="A88" t="s">
        <v>625</v>
      </c>
      <c r="B88" t="s">
        <v>626</v>
      </c>
      <c r="C88" t="s">
        <v>193</v>
      </c>
      <c r="D88" t="s">
        <v>207</v>
      </c>
      <c r="E88" t="s">
        <v>208</v>
      </c>
      <c r="F88" t="s">
        <v>16</v>
      </c>
      <c r="G88" t="s">
        <v>17</v>
      </c>
      <c r="H88" t="s">
        <v>209</v>
      </c>
      <c r="I88" t="s">
        <v>210</v>
      </c>
      <c r="J88" t="s">
        <v>197</v>
      </c>
      <c r="K88" t="s">
        <v>198</v>
      </c>
      <c r="L88" t="s">
        <v>176</v>
      </c>
      <c r="M88" t="s">
        <v>211</v>
      </c>
      <c r="N88" t="s">
        <v>627</v>
      </c>
    </row>
    <row r="89" spans="1:14" ht="15" customHeight="1">
      <c r="A89" t="s">
        <v>628</v>
      </c>
      <c r="B89" t="s">
        <v>629</v>
      </c>
      <c r="C89" t="s">
        <v>193</v>
      </c>
      <c r="D89" t="s">
        <v>210</v>
      </c>
      <c r="E89" t="s">
        <v>219</v>
      </c>
      <c r="F89" t="s">
        <v>16</v>
      </c>
      <c r="G89" t="s">
        <v>17</v>
      </c>
      <c r="H89" t="s">
        <v>220</v>
      </c>
      <c r="J89" t="s">
        <v>197</v>
      </c>
      <c r="K89" t="s">
        <v>198</v>
      </c>
      <c r="L89" t="s">
        <v>214</v>
      </c>
      <c r="M89" t="s">
        <v>221</v>
      </c>
      <c r="N89" t="s">
        <v>630</v>
      </c>
    </row>
    <row r="90" spans="1:14" ht="15" customHeight="1">
      <c r="A90" t="s">
        <v>631</v>
      </c>
      <c r="B90" t="s">
        <v>632</v>
      </c>
      <c r="C90" t="s">
        <v>193</v>
      </c>
      <c r="D90" t="s">
        <v>210</v>
      </c>
      <c r="E90" t="s">
        <v>219</v>
      </c>
      <c r="F90" t="s">
        <v>16</v>
      </c>
      <c r="G90" t="s">
        <v>17</v>
      </c>
      <c r="H90" t="s">
        <v>220</v>
      </c>
      <c r="J90" t="s">
        <v>197</v>
      </c>
      <c r="K90" t="s">
        <v>198</v>
      </c>
      <c r="L90" t="s">
        <v>214</v>
      </c>
      <c r="M90" t="s">
        <v>221</v>
      </c>
      <c r="N90" t="s">
        <v>633</v>
      </c>
    </row>
    <row r="91" spans="1:14" ht="15" customHeight="1">
      <c r="A91" t="s">
        <v>634</v>
      </c>
      <c r="B91" t="s">
        <v>635</v>
      </c>
      <c r="C91" t="s">
        <v>193</v>
      </c>
      <c r="D91" t="s">
        <v>210</v>
      </c>
      <c r="E91" t="s">
        <v>219</v>
      </c>
      <c r="F91" t="s">
        <v>16</v>
      </c>
      <c r="G91" t="s">
        <v>17</v>
      </c>
      <c r="H91" t="s">
        <v>220</v>
      </c>
      <c r="J91" t="s">
        <v>197</v>
      </c>
      <c r="K91" t="s">
        <v>198</v>
      </c>
      <c r="L91" t="s">
        <v>214</v>
      </c>
      <c r="M91" t="s">
        <v>221</v>
      </c>
      <c r="N91" t="s">
        <v>636</v>
      </c>
    </row>
    <row r="92" spans="1:14" ht="15" customHeight="1">
      <c r="A92" t="s">
        <v>637</v>
      </c>
      <c r="B92" t="s">
        <v>638</v>
      </c>
      <c r="C92" t="s">
        <v>193</v>
      </c>
      <c r="D92" t="s">
        <v>210</v>
      </c>
      <c r="E92" t="s">
        <v>219</v>
      </c>
      <c r="F92" t="s">
        <v>16</v>
      </c>
      <c r="G92" t="s">
        <v>17</v>
      </c>
      <c r="H92" t="s">
        <v>220</v>
      </c>
      <c r="J92" t="s">
        <v>197</v>
      </c>
      <c r="K92" t="s">
        <v>198</v>
      </c>
      <c r="L92" t="s">
        <v>214</v>
      </c>
      <c r="M92" t="s">
        <v>221</v>
      </c>
      <c r="N92" t="s">
        <v>639</v>
      </c>
    </row>
    <row r="93" spans="1:14" ht="15" customHeight="1">
      <c r="A93" t="s">
        <v>640</v>
      </c>
      <c r="B93" t="s">
        <v>641</v>
      </c>
      <c r="C93" t="s">
        <v>193</v>
      </c>
      <c r="D93" t="s">
        <v>222</v>
      </c>
      <c r="E93" t="s">
        <v>223</v>
      </c>
      <c r="F93" t="s">
        <v>16</v>
      </c>
      <c r="G93" t="s">
        <v>17</v>
      </c>
      <c r="H93" t="s">
        <v>196</v>
      </c>
      <c r="I93" t="s">
        <v>224</v>
      </c>
      <c r="J93" t="s">
        <v>197</v>
      </c>
      <c r="K93" t="s">
        <v>198</v>
      </c>
      <c r="L93" t="s">
        <v>21</v>
      </c>
      <c r="M93" t="s">
        <v>225</v>
      </c>
      <c r="N93" t="s">
        <v>642</v>
      </c>
    </row>
    <row r="94" spans="1:14" ht="15" customHeight="1">
      <c r="A94" t="s">
        <v>643</v>
      </c>
      <c r="B94" t="s">
        <v>644</v>
      </c>
      <c r="C94" t="s">
        <v>193</v>
      </c>
      <c r="D94" t="s">
        <v>222</v>
      </c>
      <c r="E94" t="s">
        <v>223</v>
      </c>
      <c r="F94" t="s">
        <v>16</v>
      </c>
      <c r="G94" t="s">
        <v>17</v>
      </c>
      <c r="H94" t="s">
        <v>196</v>
      </c>
      <c r="I94" t="s">
        <v>224</v>
      </c>
      <c r="J94" t="s">
        <v>197</v>
      </c>
      <c r="K94" t="s">
        <v>198</v>
      </c>
      <c r="L94" t="s">
        <v>21</v>
      </c>
      <c r="M94" t="s">
        <v>225</v>
      </c>
      <c r="N94" t="s">
        <v>645</v>
      </c>
    </row>
    <row r="95" spans="1:14" ht="15" customHeight="1">
      <c r="A95" t="s">
        <v>646</v>
      </c>
      <c r="B95" t="s">
        <v>647</v>
      </c>
      <c r="C95" t="s">
        <v>193</v>
      </c>
      <c r="D95" t="s">
        <v>222</v>
      </c>
      <c r="E95" t="s">
        <v>223</v>
      </c>
      <c r="F95" t="s">
        <v>16</v>
      </c>
      <c r="G95" t="s">
        <v>17</v>
      </c>
      <c r="H95" t="s">
        <v>196</v>
      </c>
      <c r="I95" t="s">
        <v>224</v>
      </c>
      <c r="J95" t="s">
        <v>197</v>
      </c>
      <c r="K95" t="s">
        <v>198</v>
      </c>
      <c r="L95" t="s">
        <v>21</v>
      </c>
      <c r="M95" t="s">
        <v>225</v>
      </c>
      <c r="N95" t="s">
        <v>648</v>
      </c>
    </row>
    <row r="96" spans="1:14" ht="15" customHeight="1">
      <c r="A96" t="s">
        <v>649</v>
      </c>
      <c r="B96" t="s">
        <v>650</v>
      </c>
      <c r="C96" t="s">
        <v>193</v>
      </c>
      <c r="D96" t="s">
        <v>222</v>
      </c>
      <c r="E96" t="s">
        <v>223</v>
      </c>
      <c r="F96" t="s">
        <v>16</v>
      </c>
      <c r="G96" t="s">
        <v>17</v>
      </c>
      <c r="H96" t="s">
        <v>196</v>
      </c>
      <c r="I96" t="s">
        <v>224</v>
      </c>
      <c r="J96" t="s">
        <v>197</v>
      </c>
      <c r="K96" t="s">
        <v>198</v>
      </c>
      <c r="L96" t="s">
        <v>21</v>
      </c>
      <c r="M96" t="s">
        <v>225</v>
      </c>
      <c r="N96" t="s">
        <v>651</v>
      </c>
    </row>
    <row r="97" spans="1:14" ht="15" customHeight="1">
      <c r="A97" t="s">
        <v>652</v>
      </c>
      <c r="B97" t="s">
        <v>653</v>
      </c>
      <c r="C97" t="s">
        <v>193</v>
      </c>
      <c r="D97" t="s">
        <v>226</v>
      </c>
      <c r="E97" t="s">
        <v>227</v>
      </c>
      <c r="F97" t="s">
        <v>16</v>
      </c>
      <c r="G97" t="s">
        <v>17</v>
      </c>
      <c r="H97" t="s">
        <v>228</v>
      </c>
      <c r="J97" t="s">
        <v>197</v>
      </c>
      <c r="K97" t="s">
        <v>198</v>
      </c>
      <c r="L97" t="s">
        <v>199</v>
      </c>
      <c r="M97" t="s">
        <v>229</v>
      </c>
      <c r="N97" t="s">
        <v>654</v>
      </c>
    </row>
    <row r="98" spans="1:14" ht="15" customHeight="1">
      <c r="A98" t="s">
        <v>655</v>
      </c>
      <c r="B98" t="s">
        <v>656</v>
      </c>
      <c r="C98" t="s">
        <v>193</v>
      </c>
      <c r="D98" t="s">
        <v>226</v>
      </c>
      <c r="E98" t="s">
        <v>227</v>
      </c>
      <c r="F98" t="s">
        <v>16</v>
      </c>
      <c r="G98" t="s">
        <v>17</v>
      </c>
      <c r="H98" t="s">
        <v>228</v>
      </c>
      <c r="J98" t="s">
        <v>197</v>
      </c>
      <c r="K98" t="s">
        <v>198</v>
      </c>
      <c r="L98" t="s">
        <v>199</v>
      </c>
      <c r="M98" t="s">
        <v>229</v>
      </c>
      <c r="N98" t="s">
        <v>657</v>
      </c>
    </row>
    <row r="99" spans="1:14" ht="15" customHeight="1">
      <c r="A99" t="s">
        <v>658</v>
      </c>
      <c r="B99" t="s">
        <v>659</v>
      </c>
      <c r="C99" t="s">
        <v>193</v>
      </c>
      <c r="D99" t="s">
        <v>226</v>
      </c>
      <c r="E99" t="s">
        <v>227</v>
      </c>
      <c r="F99" t="s">
        <v>16</v>
      </c>
      <c r="G99" t="s">
        <v>17</v>
      </c>
      <c r="H99" t="s">
        <v>228</v>
      </c>
      <c r="J99" t="s">
        <v>197</v>
      </c>
      <c r="K99" t="s">
        <v>198</v>
      </c>
      <c r="L99" t="s">
        <v>199</v>
      </c>
      <c r="M99" t="s">
        <v>229</v>
      </c>
      <c r="N99" t="s">
        <v>660</v>
      </c>
    </row>
    <row r="100" spans="1:14" ht="15" customHeight="1">
      <c r="A100" t="s">
        <v>661</v>
      </c>
      <c r="B100" t="s">
        <v>662</v>
      </c>
      <c r="C100" t="s">
        <v>193</v>
      </c>
      <c r="D100" t="s">
        <v>226</v>
      </c>
      <c r="E100" t="s">
        <v>227</v>
      </c>
      <c r="F100" t="s">
        <v>16</v>
      </c>
      <c r="G100" t="s">
        <v>17</v>
      </c>
      <c r="H100" t="s">
        <v>228</v>
      </c>
      <c r="J100" t="s">
        <v>197</v>
      </c>
      <c r="K100" t="s">
        <v>198</v>
      </c>
      <c r="L100" t="s">
        <v>199</v>
      </c>
      <c r="M100" t="s">
        <v>229</v>
      </c>
      <c r="N100" t="s">
        <v>663</v>
      </c>
    </row>
    <row r="101" spans="1:14" ht="15" customHeight="1">
      <c r="A101" t="s">
        <v>664</v>
      </c>
      <c r="B101" t="s">
        <v>665</v>
      </c>
      <c r="C101" t="s">
        <v>193</v>
      </c>
      <c r="D101" t="s">
        <v>230</v>
      </c>
      <c r="E101" t="s">
        <v>231</v>
      </c>
      <c r="F101" t="s">
        <v>16</v>
      </c>
      <c r="G101" t="s">
        <v>17</v>
      </c>
      <c r="H101" t="s">
        <v>232</v>
      </c>
      <c r="J101" t="s">
        <v>197</v>
      </c>
      <c r="K101" t="s">
        <v>198</v>
      </c>
      <c r="L101" t="s">
        <v>199</v>
      </c>
      <c r="M101" t="s">
        <v>233</v>
      </c>
      <c r="N101" t="s">
        <v>666</v>
      </c>
    </row>
    <row r="102" spans="1:14" ht="15" customHeight="1">
      <c r="A102" t="s">
        <v>667</v>
      </c>
      <c r="B102" t="s">
        <v>668</v>
      </c>
      <c r="C102" t="s">
        <v>193</v>
      </c>
      <c r="D102" t="s">
        <v>230</v>
      </c>
      <c r="E102" t="s">
        <v>231</v>
      </c>
      <c r="F102" t="s">
        <v>16</v>
      </c>
      <c r="G102" t="s">
        <v>17</v>
      </c>
      <c r="H102" t="s">
        <v>232</v>
      </c>
      <c r="J102" t="s">
        <v>197</v>
      </c>
      <c r="K102" t="s">
        <v>198</v>
      </c>
      <c r="L102" t="s">
        <v>199</v>
      </c>
      <c r="M102" t="s">
        <v>233</v>
      </c>
      <c r="N102" t="s">
        <v>669</v>
      </c>
    </row>
    <row r="103" spans="1:14" ht="15" customHeight="1">
      <c r="A103" t="s">
        <v>670</v>
      </c>
      <c r="B103" t="s">
        <v>671</v>
      </c>
      <c r="C103" t="s">
        <v>193</v>
      </c>
      <c r="D103" t="s">
        <v>230</v>
      </c>
      <c r="E103" t="s">
        <v>231</v>
      </c>
      <c r="F103" t="s">
        <v>16</v>
      </c>
      <c r="G103" t="s">
        <v>17</v>
      </c>
      <c r="H103" t="s">
        <v>232</v>
      </c>
      <c r="J103" t="s">
        <v>197</v>
      </c>
      <c r="K103" t="s">
        <v>198</v>
      </c>
      <c r="L103" t="s">
        <v>199</v>
      </c>
      <c r="M103" t="s">
        <v>233</v>
      </c>
      <c r="N103" t="s">
        <v>672</v>
      </c>
    </row>
    <row r="104" spans="1:14" ht="15" customHeight="1">
      <c r="A104" t="s">
        <v>673</v>
      </c>
      <c r="B104" t="s">
        <v>674</v>
      </c>
      <c r="C104" t="s">
        <v>193</v>
      </c>
      <c r="D104" t="s">
        <v>230</v>
      </c>
      <c r="E104" t="s">
        <v>231</v>
      </c>
      <c r="F104" t="s">
        <v>16</v>
      </c>
      <c r="G104" t="s">
        <v>17</v>
      </c>
      <c r="H104" t="s">
        <v>232</v>
      </c>
      <c r="J104" t="s">
        <v>197</v>
      </c>
      <c r="K104" t="s">
        <v>198</v>
      </c>
      <c r="L104" t="s">
        <v>199</v>
      </c>
      <c r="M104" t="s">
        <v>233</v>
      </c>
      <c r="N104" t="s">
        <v>675</v>
      </c>
    </row>
    <row r="105" spans="1:14" ht="15" customHeight="1">
      <c r="A105" t="s">
        <v>676</v>
      </c>
      <c r="B105" t="s">
        <v>677</v>
      </c>
      <c r="C105" t="s">
        <v>193</v>
      </c>
      <c r="D105" t="s">
        <v>234</v>
      </c>
      <c r="E105" t="s">
        <v>235</v>
      </c>
      <c r="F105" t="s">
        <v>16</v>
      </c>
      <c r="G105" t="s">
        <v>17</v>
      </c>
      <c r="H105" t="s">
        <v>232</v>
      </c>
      <c r="J105" t="s">
        <v>197</v>
      </c>
      <c r="K105" t="s">
        <v>198</v>
      </c>
      <c r="L105" t="s">
        <v>199</v>
      </c>
      <c r="M105" t="s">
        <v>236</v>
      </c>
      <c r="N105" t="s">
        <v>678</v>
      </c>
    </row>
    <row r="106" spans="1:14" ht="15" customHeight="1">
      <c r="A106" t="s">
        <v>679</v>
      </c>
      <c r="B106" t="s">
        <v>662</v>
      </c>
      <c r="C106" t="s">
        <v>193</v>
      </c>
      <c r="D106" t="s">
        <v>234</v>
      </c>
      <c r="E106" t="s">
        <v>235</v>
      </c>
      <c r="F106" t="s">
        <v>16</v>
      </c>
      <c r="G106" t="s">
        <v>17</v>
      </c>
      <c r="H106" t="s">
        <v>232</v>
      </c>
      <c r="J106" t="s">
        <v>197</v>
      </c>
      <c r="K106" t="s">
        <v>198</v>
      </c>
      <c r="L106" t="s">
        <v>199</v>
      </c>
      <c r="M106" t="s">
        <v>236</v>
      </c>
      <c r="N106" t="s">
        <v>680</v>
      </c>
    </row>
    <row r="107" spans="1:14" ht="15" customHeight="1">
      <c r="A107" t="s">
        <v>681</v>
      </c>
      <c r="B107" t="s">
        <v>682</v>
      </c>
      <c r="C107" t="s">
        <v>193</v>
      </c>
      <c r="D107" t="s">
        <v>234</v>
      </c>
      <c r="E107" t="s">
        <v>235</v>
      </c>
      <c r="F107" t="s">
        <v>16</v>
      </c>
      <c r="G107" t="s">
        <v>17</v>
      </c>
      <c r="H107" t="s">
        <v>232</v>
      </c>
      <c r="J107" t="s">
        <v>197</v>
      </c>
      <c r="K107" t="s">
        <v>198</v>
      </c>
      <c r="L107" t="s">
        <v>199</v>
      </c>
      <c r="M107" t="s">
        <v>236</v>
      </c>
      <c r="N107" t="s">
        <v>683</v>
      </c>
    </row>
    <row r="108" spans="1:14" ht="15" customHeight="1">
      <c r="A108" t="s">
        <v>684</v>
      </c>
      <c r="B108" t="s">
        <v>685</v>
      </c>
      <c r="C108" t="s">
        <v>193</v>
      </c>
      <c r="D108" t="s">
        <v>234</v>
      </c>
      <c r="E108" t="s">
        <v>235</v>
      </c>
      <c r="F108" t="s">
        <v>16</v>
      </c>
      <c r="G108" t="s">
        <v>17</v>
      </c>
      <c r="H108" t="s">
        <v>232</v>
      </c>
      <c r="J108" t="s">
        <v>197</v>
      </c>
      <c r="K108" t="s">
        <v>198</v>
      </c>
      <c r="L108" t="s">
        <v>199</v>
      </c>
      <c r="M108" t="s">
        <v>236</v>
      </c>
      <c r="N108" t="s">
        <v>686</v>
      </c>
    </row>
    <row r="109" spans="1:14" ht="15" customHeight="1">
      <c r="A109" t="s">
        <v>687</v>
      </c>
      <c r="B109" t="s">
        <v>688</v>
      </c>
      <c r="C109" t="s">
        <v>193</v>
      </c>
      <c r="D109" t="s">
        <v>237</v>
      </c>
      <c r="E109" t="s">
        <v>238</v>
      </c>
      <c r="F109" t="s">
        <v>16</v>
      </c>
      <c r="G109" t="s">
        <v>17</v>
      </c>
      <c r="H109" t="s">
        <v>228</v>
      </c>
      <c r="J109" t="s">
        <v>197</v>
      </c>
      <c r="K109" t="s">
        <v>198</v>
      </c>
      <c r="L109" t="s">
        <v>199</v>
      </c>
      <c r="M109" t="s">
        <v>239</v>
      </c>
      <c r="N109" t="s">
        <v>689</v>
      </c>
    </row>
    <row r="110" spans="1:14" ht="15" customHeight="1">
      <c r="A110" t="s">
        <v>690</v>
      </c>
      <c r="B110" t="s">
        <v>691</v>
      </c>
      <c r="C110" t="s">
        <v>193</v>
      </c>
      <c r="D110" t="s">
        <v>237</v>
      </c>
      <c r="E110" t="s">
        <v>238</v>
      </c>
      <c r="F110" t="s">
        <v>16</v>
      </c>
      <c r="G110" t="s">
        <v>17</v>
      </c>
      <c r="H110" t="s">
        <v>228</v>
      </c>
      <c r="J110" t="s">
        <v>197</v>
      </c>
      <c r="K110" t="s">
        <v>198</v>
      </c>
      <c r="L110" t="s">
        <v>199</v>
      </c>
      <c r="M110" t="s">
        <v>239</v>
      </c>
      <c r="N110" t="s">
        <v>692</v>
      </c>
    </row>
    <row r="111" spans="1:14" ht="15" customHeight="1">
      <c r="A111" t="s">
        <v>693</v>
      </c>
      <c r="B111" t="s">
        <v>694</v>
      </c>
      <c r="C111" t="s">
        <v>193</v>
      </c>
      <c r="D111" t="s">
        <v>237</v>
      </c>
      <c r="E111" t="s">
        <v>238</v>
      </c>
      <c r="F111" t="s">
        <v>16</v>
      </c>
      <c r="G111" t="s">
        <v>17</v>
      </c>
      <c r="H111" t="s">
        <v>228</v>
      </c>
      <c r="J111" t="s">
        <v>197</v>
      </c>
      <c r="K111" t="s">
        <v>198</v>
      </c>
      <c r="L111" t="s">
        <v>199</v>
      </c>
      <c r="M111" t="s">
        <v>239</v>
      </c>
      <c r="N111" t="s">
        <v>695</v>
      </c>
    </row>
    <row r="112" spans="1:14" ht="15" customHeight="1">
      <c r="A112" t="s">
        <v>696</v>
      </c>
      <c r="B112" t="s">
        <v>697</v>
      </c>
      <c r="C112" t="s">
        <v>193</v>
      </c>
      <c r="D112" t="s">
        <v>237</v>
      </c>
      <c r="E112" t="s">
        <v>238</v>
      </c>
      <c r="F112" t="s">
        <v>16</v>
      </c>
      <c r="G112" t="s">
        <v>17</v>
      </c>
      <c r="H112" t="s">
        <v>228</v>
      </c>
      <c r="J112" t="s">
        <v>197</v>
      </c>
      <c r="K112" t="s">
        <v>198</v>
      </c>
      <c r="L112" t="s">
        <v>199</v>
      </c>
      <c r="M112" t="s">
        <v>239</v>
      </c>
      <c r="N112" t="s">
        <v>698</v>
      </c>
    </row>
    <row r="113" spans="1:14" ht="15" customHeight="1">
      <c r="A113" t="s">
        <v>699</v>
      </c>
      <c r="B113" t="s">
        <v>700</v>
      </c>
      <c r="C113" t="s">
        <v>193</v>
      </c>
      <c r="D113" t="s">
        <v>240</v>
      </c>
      <c r="E113" t="s">
        <v>241</v>
      </c>
      <c r="F113" t="s">
        <v>16</v>
      </c>
      <c r="G113" t="s">
        <v>17</v>
      </c>
      <c r="H113" t="s">
        <v>232</v>
      </c>
      <c r="J113" t="s">
        <v>197</v>
      </c>
      <c r="K113" t="s">
        <v>198</v>
      </c>
      <c r="L113" t="s">
        <v>199</v>
      </c>
      <c r="M113" t="s">
        <v>242</v>
      </c>
      <c r="N113" t="s">
        <v>701</v>
      </c>
    </row>
    <row r="114" spans="1:14" ht="15" customHeight="1">
      <c r="A114" t="s">
        <v>702</v>
      </c>
      <c r="B114" t="s">
        <v>703</v>
      </c>
      <c r="C114" t="s">
        <v>193</v>
      </c>
      <c r="D114" t="s">
        <v>240</v>
      </c>
      <c r="E114" t="s">
        <v>241</v>
      </c>
      <c r="F114" t="s">
        <v>16</v>
      </c>
      <c r="G114" t="s">
        <v>17</v>
      </c>
      <c r="H114" t="s">
        <v>232</v>
      </c>
      <c r="J114" t="s">
        <v>197</v>
      </c>
      <c r="K114" t="s">
        <v>198</v>
      </c>
      <c r="L114" t="s">
        <v>199</v>
      </c>
      <c r="M114" t="s">
        <v>242</v>
      </c>
      <c r="N114" t="s">
        <v>704</v>
      </c>
    </row>
    <row r="115" spans="1:14" ht="15" customHeight="1">
      <c r="A115" t="s">
        <v>705</v>
      </c>
      <c r="B115" t="s">
        <v>706</v>
      </c>
      <c r="C115" t="s">
        <v>193</v>
      </c>
      <c r="D115" t="s">
        <v>240</v>
      </c>
      <c r="E115" t="s">
        <v>241</v>
      </c>
      <c r="F115" t="s">
        <v>16</v>
      </c>
      <c r="G115" t="s">
        <v>17</v>
      </c>
      <c r="H115" t="s">
        <v>232</v>
      </c>
      <c r="J115" t="s">
        <v>197</v>
      </c>
      <c r="K115" t="s">
        <v>198</v>
      </c>
      <c r="L115" t="s">
        <v>199</v>
      </c>
      <c r="M115" t="s">
        <v>242</v>
      </c>
      <c r="N115" t="s">
        <v>707</v>
      </c>
    </row>
    <row r="116" spans="1:14" ht="15" customHeight="1">
      <c r="A116" t="s">
        <v>708</v>
      </c>
      <c r="B116" t="s">
        <v>709</v>
      </c>
      <c r="C116" t="s">
        <v>193</v>
      </c>
      <c r="D116" t="s">
        <v>240</v>
      </c>
      <c r="E116" t="s">
        <v>241</v>
      </c>
      <c r="F116" t="s">
        <v>16</v>
      </c>
      <c r="G116" t="s">
        <v>17</v>
      </c>
      <c r="H116" t="s">
        <v>232</v>
      </c>
      <c r="J116" t="s">
        <v>197</v>
      </c>
      <c r="K116" t="s">
        <v>198</v>
      </c>
      <c r="L116" t="s">
        <v>199</v>
      </c>
      <c r="M116" t="s">
        <v>242</v>
      </c>
      <c r="N116" t="s">
        <v>710</v>
      </c>
    </row>
    <row r="117" spans="1:14" ht="15" customHeight="1">
      <c r="A117" t="s">
        <v>711</v>
      </c>
      <c r="B117" t="s">
        <v>712</v>
      </c>
      <c r="C117" t="s">
        <v>193</v>
      </c>
      <c r="D117" t="s">
        <v>240</v>
      </c>
      <c r="E117" t="s">
        <v>241</v>
      </c>
      <c r="F117" t="s">
        <v>16</v>
      </c>
      <c r="G117" t="s">
        <v>17</v>
      </c>
      <c r="H117" t="s">
        <v>232</v>
      </c>
      <c r="J117" t="s">
        <v>197</v>
      </c>
      <c r="K117" t="s">
        <v>198</v>
      </c>
      <c r="L117" t="s">
        <v>199</v>
      </c>
      <c r="M117" t="s">
        <v>242</v>
      </c>
      <c r="N117" t="s">
        <v>713</v>
      </c>
    </row>
    <row r="118" spans="1:14" ht="15" customHeight="1">
      <c r="A118" t="s">
        <v>714</v>
      </c>
      <c r="B118" t="s">
        <v>715</v>
      </c>
      <c r="C118" t="s">
        <v>193</v>
      </c>
      <c r="D118" t="s">
        <v>243</v>
      </c>
      <c r="E118" t="s">
        <v>244</v>
      </c>
      <c r="F118" t="s">
        <v>16</v>
      </c>
      <c r="G118" t="s">
        <v>17</v>
      </c>
      <c r="H118" t="s">
        <v>228</v>
      </c>
      <c r="J118" t="s">
        <v>197</v>
      </c>
      <c r="K118" t="s">
        <v>198</v>
      </c>
      <c r="L118" t="s">
        <v>199</v>
      </c>
      <c r="M118" t="s">
        <v>245</v>
      </c>
      <c r="N118" t="s">
        <v>716</v>
      </c>
    </row>
    <row r="119" spans="1:14" ht="15" customHeight="1">
      <c r="A119" t="s">
        <v>717</v>
      </c>
      <c r="B119" t="s">
        <v>718</v>
      </c>
      <c r="C119" t="s">
        <v>193</v>
      </c>
      <c r="D119" t="s">
        <v>243</v>
      </c>
      <c r="E119" t="s">
        <v>244</v>
      </c>
      <c r="F119" t="s">
        <v>16</v>
      </c>
      <c r="G119" t="s">
        <v>17</v>
      </c>
      <c r="H119" t="s">
        <v>228</v>
      </c>
      <c r="J119" t="s">
        <v>197</v>
      </c>
      <c r="K119" t="s">
        <v>198</v>
      </c>
      <c r="L119" t="s">
        <v>199</v>
      </c>
      <c r="M119" t="s">
        <v>245</v>
      </c>
      <c r="N119" t="s">
        <v>719</v>
      </c>
    </row>
    <row r="120" spans="1:14" ht="15" customHeight="1">
      <c r="A120" t="s">
        <v>720</v>
      </c>
      <c r="B120" t="s">
        <v>721</v>
      </c>
      <c r="C120" t="s">
        <v>193</v>
      </c>
      <c r="D120" t="s">
        <v>243</v>
      </c>
      <c r="E120" t="s">
        <v>244</v>
      </c>
      <c r="F120" t="s">
        <v>16</v>
      </c>
      <c r="G120" t="s">
        <v>17</v>
      </c>
      <c r="H120" t="s">
        <v>228</v>
      </c>
      <c r="J120" t="s">
        <v>197</v>
      </c>
      <c r="K120" t="s">
        <v>198</v>
      </c>
      <c r="L120" t="s">
        <v>199</v>
      </c>
      <c r="M120" t="s">
        <v>245</v>
      </c>
      <c r="N120" t="s">
        <v>722</v>
      </c>
    </row>
    <row r="121" spans="1:14" ht="15" customHeight="1">
      <c r="A121" t="s">
        <v>723</v>
      </c>
      <c r="B121" t="s">
        <v>724</v>
      </c>
      <c r="C121" t="s">
        <v>193</v>
      </c>
      <c r="D121" t="s">
        <v>246</v>
      </c>
      <c r="E121" t="s">
        <v>247</v>
      </c>
      <c r="F121" t="s">
        <v>16</v>
      </c>
      <c r="G121" t="s">
        <v>17</v>
      </c>
      <c r="H121" t="s">
        <v>232</v>
      </c>
      <c r="J121" t="s">
        <v>197</v>
      </c>
      <c r="K121" t="s">
        <v>198</v>
      </c>
      <c r="L121" t="s">
        <v>199</v>
      </c>
      <c r="M121" t="s">
        <v>248</v>
      </c>
      <c r="N121" t="s">
        <v>725</v>
      </c>
    </row>
    <row r="122" spans="1:14" ht="15" customHeight="1">
      <c r="A122" t="s">
        <v>726</v>
      </c>
      <c r="B122" t="s">
        <v>727</v>
      </c>
      <c r="C122" t="s">
        <v>193</v>
      </c>
      <c r="D122" t="s">
        <v>246</v>
      </c>
      <c r="E122" t="s">
        <v>247</v>
      </c>
      <c r="F122" t="s">
        <v>16</v>
      </c>
      <c r="G122" t="s">
        <v>17</v>
      </c>
      <c r="H122" t="s">
        <v>232</v>
      </c>
      <c r="J122" t="s">
        <v>197</v>
      </c>
      <c r="K122" t="s">
        <v>198</v>
      </c>
      <c r="L122" t="s">
        <v>199</v>
      </c>
      <c r="M122" t="s">
        <v>248</v>
      </c>
      <c r="N122" t="s">
        <v>728</v>
      </c>
    </row>
    <row r="123" spans="1:14" ht="15" customHeight="1">
      <c r="A123" t="s">
        <v>729</v>
      </c>
      <c r="B123" t="s">
        <v>730</v>
      </c>
      <c r="C123" t="s">
        <v>193</v>
      </c>
      <c r="D123" t="s">
        <v>246</v>
      </c>
      <c r="E123" t="s">
        <v>247</v>
      </c>
      <c r="F123" t="s">
        <v>16</v>
      </c>
      <c r="G123" t="s">
        <v>17</v>
      </c>
      <c r="H123" t="s">
        <v>232</v>
      </c>
      <c r="J123" t="s">
        <v>197</v>
      </c>
      <c r="K123" t="s">
        <v>198</v>
      </c>
      <c r="L123" t="s">
        <v>199</v>
      </c>
      <c r="M123" t="s">
        <v>248</v>
      </c>
      <c r="N123" t="s">
        <v>731</v>
      </c>
    </row>
    <row r="124" spans="1:14" ht="15" customHeight="1">
      <c r="A124" t="s">
        <v>732</v>
      </c>
      <c r="B124" t="s">
        <v>733</v>
      </c>
      <c r="C124" t="s">
        <v>193</v>
      </c>
      <c r="D124" t="s">
        <v>246</v>
      </c>
      <c r="E124" t="s">
        <v>247</v>
      </c>
      <c r="F124" t="s">
        <v>16</v>
      </c>
      <c r="G124" t="s">
        <v>17</v>
      </c>
      <c r="H124" t="s">
        <v>232</v>
      </c>
      <c r="J124" t="s">
        <v>197</v>
      </c>
      <c r="K124" t="s">
        <v>198</v>
      </c>
      <c r="L124" t="s">
        <v>199</v>
      </c>
      <c r="M124" t="s">
        <v>248</v>
      </c>
      <c r="N124" t="s">
        <v>734</v>
      </c>
    </row>
    <row r="125" spans="1:14" ht="15" customHeight="1">
      <c r="A125" t="s">
        <v>735</v>
      </c>
      <c r="B125" t="s">
        <v>736</v>
      </c>
      <c r="C125" t="s">
        <v>193</v>
      </c>
      <c r="D125" t="s">
        <v>249</v>
      </c>
      <c r="E125" t="s">
        <v>250</v>
      </c>
      <c r="F125" t="s">
        <v>16</v>
      </c>
      <c r="G125" t="s">
        <v>17</v>
      </c>
      <c r="H125" t="s">
        <v>232</v>
      </c>
      <c r="J125" t="s">
        <v>197</v>
      </c>
      <c r="K125" t="s">
        <v>198</v>
      </c>
      <c r="L125" t="s">
        <v>21</v>
      </c>
      <c r="M125" t="s">
        <v>251</v>
      </c>
      <c r="N125" t="s">
        <v>737</v>
      </c>
    </row>
    <row r="126" spans="1:14" ht="15" customHeight="1">
      <c r="A126" t="s">
        <v>738</v>
      </c>
      <c r="B126" t="s">
        <v>739</v>
      </c>
      <c r="C126" t="s">
        <v>193</v>
      </c>
      <c r="D126" t="s">
        <v>249</v>
      </c>
      <c r="E126" t="s">
        <v>250</v>
      </c>
      <c r="F126" t="s">
        <v>16</v>
      </c>
      <c r="G126" t="s">
        <v>17</v>
      </c>
      <c r="H126" t="s">
        <v>232</v>
      </c>
      <c r="J126" t="s">
        <v>197</v>
      </c>
      <c r="K126" t="s">
        <v>198</v>
      </c>
      <c r="L126" t="s">
        <v>21</v>
      </c>
      <c r="M126" t="s">
        <v>251</v>
      </c>
      <c r="N126" t="s">
        <v>740</v>
      </c>
    </row>
    <row r="127" spans="1:14" ht="15" customHeight="1">
      <c r="A127" t="s">
        <v>741</v>
      </c>
      <c r="B127" t="s">
        <v>742</v>
      </c>
      <c r="C127" t="s">
        <v>193</v>
      </c>
      <c r="D127" t="s">
        <v>249</v>
      </c>
      <c r="E127" t="s">
        <v>250</v>
      </c>
      <c r="F127" t="s">
        <v>16</v>
      </c>
      <c r="G127" t="s">
        <v>17</v>
      </c>
      <c r="H127" t="s">
        <v>232</v>
      </c>
      <c r="J127" t="s">
        <v>197</v>
      </c>
      <c r="K127" t="s">
        <v>198</v>
      </c>
      <c r="L127" t="s">
        <v>21</v>
      </c>
      <c r="M127" t="s">
        <v>251</v>
      </c>
      <c r="N127" t="s">
        <v>743</v>
      </c>
    </row>
    <row r="128" spans="1:14" ht="15" customHeight="1">
      <c r="A128" t="s">
        <v>744</v>
      </c>
      <c r="B128" t="s">
        <v>745</v>
      </c>
      <c r="C128" t="s">
        <v>193</v>
      </c>
      <c r="D128" t="s">
        <v>252</v>
      </c>
      <c r="E128" t="s">
        <v>253</v>
      </c>
      <c r="F128" t="s">
        <v>16</v>
      </c>
      <c r="G128" t="s">
        <v>17</v>
      </c>
      <c r="H128" t="s">
        <v>232</v>
      </c>
      <c r="J128" t="s">
        <v>197</v>
      </c>
      <c r="K128" t="s">
        <v>198</v>
      </c>
      <c r="L128" t="s">
        <v>199</v>
      </c>
      <c r="M128" t="s">
        <v>254</v>
      </c>
      <c r="N128" t="s">
        <v>746</v>
      </c>
    </row>
    <row r="129" spans="1:14" ht="15" customHeight="1">
      <c r="A129" t="s">
        <v>747</v>
      </c>
      <c r="B129" t="s">
        <v>748</v>
      </c>
      <c r="C129" t="s">
        <v>193</v>
      </c>
      <c r="D129" t="s">
        <v>252</v>
      </c>
      <c r="E129" t="s">
        <v>253</v>
      </c>
      <c r="F129" t="s">
        <v>16</v>
      </c>
      <c r="G129" t="s">
        <v>17</v>
      </c>
      <c r="H129" t="s">
        <v>232</v>
      </c>
      <c r="J129" t="s">
        <v>197</v>
      </c>
      <c r="K129" t="s">
        <v>198</v>
      </c>
      <c r="L129" t="s">
        <v>199</v>
      </c>
      <c r="M129" t="s">
        <v>254</v>
      </c>
      <c r="N129" t="s">
        <v>749</v>
      </c>
    </row>
    <row r="130" spans="1:14" ht="15" customHeight="1">
      <c r="A130" t="s">
        <v>750</v>
      </c>
      <c r="B130" t="s">
        <v>751</v>
      </c>
      <c r="C130" t="s">
        <v>193</v>
      </c>
      <c r="D130" t="s">
        <v>252</v>
      </c>
      <c r="E130" t="s">
        <v>253</v>
      </c>
      <c r="F130" t="s">
        <v>16</v>
      </c>
      <c r="G130" t="s">
        <v>17</v>
      </c>
      <c r="H130" t="s">
        <v>232</v>
      </c>
      <c r="J130" t="s">
        <v>197</v>
      </c>
      <c r="K130" t="s">
        <v>198</v>
      </c>
      <c r="L130" t="s">
        <v>199</v>
      </c>
      <c r="M130" t="s">
        <v>254</v>
      </c>
      <c r="N130" t="s">
        <v>752</v>
      </c>
    </row>
    <row r="131" spans="1:14" ht="15" customHeight="1">
      <c r="A131" t="s">
        <v>753</v>
      </c>
      <c r="B131" t="s">
        <v>754</v>
      </c>
      <c r="C131" t="s">
        <v>193</v>
      </c>
      <c r="D131" t="s">
        <v>252</v>
      </c>
      <c r="E131" t="s">
        <v>253</v>
      </c>
      <c r="F131" t="s">
        <v>16</v>
      </c>
      <c r="G131" t="s">
        <v>17</v>
      </c>
      <c r="H131" t="s">
        <v>232</v>
      </c>
      <c r="J131" t="s">
        <v>197</v>
      </c>
      <c r="K131" t="s">
        <v>198</v>
      </c>
      <c r="L131" t="s">
        <v>199</v>
      </c>
      <c r="M131" t="s">
        <v>254</v>
      </c>
      <c r="N131" t="s">
        <v>755</v>
      </c>
    </row>
    <row r="132" spans="1:14" ht="15" customHeight="1">
      <c r="A132" t="s">
        <v>756</v>
      </c>
      <c r="B132" t="s">
        <v>757</v>
      </c>
      <c r="C132" t="s">
        <v>193</v>
      </c>
      <c r="D132" t="s">
        <v>255</v>
      </c>
      <c r="E132" t="s">
        <v>256</v>
      </c>
      <c r="F132" t="s">
        <v>16</v>
      </c>
      <c r="G132" t="s">
        <v>29</v>
      </c>
      <c r="H132" t="s">
        <v>232</v>
      </c>
      <c r="I132" t="s">
        <v>224</v>
      </c>
      <c r="J132" t="s">
        <v>197</v>
      </c>
      <c r="K132" t="s">
        <v>198</v>
      </c>
      <c r="L132" t="s">
        <v>21</v>
      </c>
      <c r="M132" t="s">
        <v>257</v>
      </c>
      <c r="N132" t="s">
        <v>758</v>
      </c>
    </row>
    <row r="133" spans="1:14" ht="15" customHeight="1">
      <c r="A133" t="s">
        <v>759</v>
      </c>
      <c r="B133" t="s">
        <v>760</v>
      </c>
      <c r="C133" t="s">
        <v>193</v>
      </c>
      <c r="D133" t="s">
        <v>255</v>
      </c>
      <c r="E133" t="s">
        <v>256</v>
      </c>
      <c r="F133" t="s">
        <v>16</v>
      </c>
      <c r="G133" t="s">
        <v>29</v>
      </c>
      <c r="H133" t="s">
        <v>232</v>
      </c>
      <c r="I133" t="s">
        <v>224</v>
      </c>
      <c r="J133" t="s">
        <v>197</v>
      </c>
      <c r="K133" t="s">
        <v>198</v>
      </c>
      <c r="L133" t="s">
        <v>21</v>
      </c>
      <c r="M133" t="s">
        <v>257</v>
      </c>
      <c r="N133" t="s">
        <v>761</v>
      </c>
    </row>
    <row r="134" spans="1:14" ht="15" customHeight="1">
      <c r="A134" t="s">
        <v>762</v>
      </c>
      <c r="B134" t="s">
        <v>763</v>
      </c>
      <c r="C134" t="s">
        <v>193</v>
      </c>
      <c r="D134" t="s">
        <v>255</v>
      </c>
      <c r="E134" t="s">
        <v>256</v>
      </c>
      <c r="F134" t="s">
        <v>16</v>
      </c>
      <c r="G134" t="s">
        <v>29</v>
      </c>
      <c r="H134" t="s">
        <v>232</v>
      </c>
      <c r="I134" t="s">
        <v>224</v>
      </c>
      <c r="J134" t="s">
        <v>197</v>
      </c>
      <c r="K134" t="s">
        <v>198</v>
      </c>
      <c r="L134" t="s">
        <v>21</v>
      </c>
      <c r="M134" t="s">
        <v>257</v>
      </c>
      <c r="N134" t="s">
        <v>764</v>
      </c>
    </row>
    <row r="135" spans="1:14" ht="15" customHeight="1">
      <c r="A135" t="s">
        <v>765</v>
      </c>
      <c r="B135" t="s">
        <v>766</v>
      </c>
      <c r="C135" t="s">
        <v>193</v>
      </c>
      <c r="D135" t="s">
        <v>255</v>
      </c>
      <c r="E135" t="s">
        <v>256</v>
      </c>
      <c r="F135" t="s">
        <v>16</v>
      </c>
      <c r="G135" t="s">
        <v>29</v>
      </c>
      <c r="H135" t="s">
        <v>232</v>
      </c>
      <c r="I135" t="s">
        <v>224</v>
      </c>
      <c r="J135" t="s">
        <v>197</v>
      </c>
      <c r="K135" t="s">
        <v>198</v>
      </c>
      <c r="L135" t="s">
        <v>21</v>
      </c>
      <c r="M135" t="s">
        <v>257</v>
      </c>
      <c r="N135" t="s">
        <v>767</v>
      </c>
    </row>
    <row r="136" spans="1:14" ht="15" customHeight="1">
      <c r="A136" t="s">
        <v>768</v>
      </c>
      <c r="B136" t="s">
        <v>769</v>
      </c>
      <c r="C136" t="s">
        <v>193</v>
      </c>
      <c r="D136" t="s">
        <v>255</v>
      </c>
      <c r="E136" t="s">
        <v>256</v>
      </c>
      <c r="F136" t="s">
        <v>16</v>
      </c>
      <c r="G136" t="s">
        <v>29</v>
      </c>
      <c r="H136" t="s">
        <v>232</v>
      </c>
      <c r="I136" t="s">
        <v>224</v>
      </c>
      <c r="J136" t="s">
        <v>197</v>
      </c>
      <c r="K136" t="s">
        <v>198</v>
      </c>
      <c r="L136" t="s">
        <v>21</v>
      </c>
      <c r="M136" t="s">
        <v>257</v>
      </c>
      <c r="N136" t="s">
        <v>770</v>
      </c>
    </row>
    <row r="137" spans="1:14" ht="15" customHeight="1">
      <c r="A137" t="s">
        <v>771</v>
      </c>
      <c r="B137" t="s">
        <v>772</v>
      </c>
      <c r="C137" t="s">
        <v>193</v>
      </c>
      <c r="D137" t="s">
        <v>258</v>
      </c>
      <c r="E137" t="s">
        <v>259</v>
      </c>
      <c r="F137" t="s">
        <v>16</v>
      </c>
      <c r="G137" t="s">
        <v>17</v>
      </c>
      <c r="H137" t="s">
        <v>196</v>
      </c>
      <c r="I137" t="s">
        <v>224</v>
      </c>
      <c r="J137" t="s">
        <v>197</v>
      </c>
      <c r="K137" t="s">
        <v>198</v>
      </c>
      <c r="L137" t="s">
        <v>21</v>
      </c>
      <c r="M137" t="s">
        <v>260</v>
      </c>
      <c r="N137" t="s">
        <v>773</v>
      </c>
    </row>
    <row r="138" spans="1:14" ht="15" customHeight="1">
      <c r="A138" t="s">
        <v>774</v>
      </c>
      <c r="B138" t="s">
        <v>775</v>
      </c>
      <c r="C138" t="s">
        <v>193</v>
      </c>
      <c r="D138" t="s">
        <v>258</v>
      </c>
      <c r="E138" t="s">
        <v>259</v>
      </c>
      <c r="F138" t="s">
        <v>16</v>
      </c>
      <c r="G138" t="s">
        <v>17</v>
      </c>
      <c r="H138" t="s">
        <v>196</v>
      </c>
      <c r="I138" t="s">
        <v>224</v>
      </c>
      <c r="J138" t="s">
        <v>197</v>
      </c>
      <c r="K138" t="s">
        <v>198</v>
      </c>
      <c r="L138" t="s">
        <v>21</v>
      </c>
      <c r="M138" t="s">
        <v>260</v>
      </c>
      <c r="N138" t="s">
        <v>776</v>
      </c>
    </row>
    <row r="139" spans="1:14" ht="15" customHeight="1">
      <c r="A139" t="s">
        <v>777</v>
      </c>
      <c r="B139" t="s">
        <v>778</v>
      </c>
      <c r="C139" t="s">
        <v>193</v>
      </c>
      <c r="D139" t="s">
        <v>258</v>
      </c>
      <c r="E139" t="s">
        <v>259</v>
      </c>
      <c r="F139" t="s">
        <v>16</v>
      </c>
      <c r="G139" t="s">
        <v>17</v>
      </c>
      <c r="H139" t="s">
        <v>196</v>
      </c>
      <c r="I139" t="s">
        <v>224</v>
      </c>
      <c r="J139" t="s">
        <v>197</v>
      </c>
      <c r="K139" t="s">
        <v>198</v>
      </c>
      <c r="L139" t="s">
        <v>21</v>
      </c>
      <c r="M139" t="s">
        <v>260</v>
      </c>
      <c r="N139" t="s">
        <v>779</v>
      </c>
    </row>
    <row r="140" spans="1:14" ht="15" customHeight="1">
      <c r="A140" t="s">
        <v>780</v>
      </c>
      <c r="B140" t="s">
        <v>781</v>
      </c>
      <c r="C140" t="s">
        <v>193</v>
      </c>
      <c r="D140" t="s">
        <v>258</v>
      </c>
      <c r="E140" t="s">
        <v>259</v>
      </c>
      <c r="F140" t="s">
        <v>16</v>
      </c>
      <c r="G140" t="s">
        <v>17</v>
      </c>
      <c r="H140" t="s">
        <v>196</v>
      </c>
      <c r="I140" t="s">
        <v>224</v>
      </c>
      <c r="J140" t="s">
        <v>197</v>
      </c>
      <c r="K140" t="s">
        <v>198</v>
      </c>
      <c r="L140" t="s">
        <v>21</v>
      </c>
      <c r="M140" t="s">
        <v>260</v>
      </c>
      <c r="N140" t="s">
        <v>782</v>
      </c>
    </row>
    <row r="141" spans="1:14" ht="15" customHeight="1">
      <c r="A141" t="s">
        <v>783</v>
      </c>
      <c r="B141" t="s">
        <v>784</v>
      </c>
      <c r="C141" t="s">
        <v>193</v>
      </c>
      <c r="D141" t="s">
        <v>261</v>
      </c>
      <c r="E141" t="s">
        <v>262</v>
      </c>
      <c r="F141" t="s">
        <v>16</v>
      </c>
      <c r="G141" t="s">
        <v>17</v>
      </c>
      <c r="H141" t="s">
        <v>196</v>
      </c>
      <c r="J141" t="s">
        <v>197</v>
      </c>
      <c r="K141" t="s">
        <v>198</v>
      </c>
      <c r="L141" t="s">
        <v>199</v>
      </c>
      <c r="M141" t="s">
        <v>263</v>
      </c>
      <c r="N141" t="s">
        <v>785</v>
      </c>
    </row>
    <row r="142" spans="1:14" ht="15" customHeight="1">
      <c r="A142" t="s">
        <v>786</v>
      </c>
      <c r="B142" t="s">
        <v>787</v>
      </c>
      <c r="C142" t="s">
        <v>193</v>
      </c>
      <c r="D142" t="s">
        <v>261</v>
      </c>
      <c r="E142" t="s">
        <v>262</v>
      </c>
      <c r="F142" t="s">
        <v>16</v>
      </c>
      <c r="G142" t="s">
        <v>17</v>
      </c>
      <c r="H142" t="s">
        <v>196</v>
      </c>
      <c r="J142" t="s">
        <v>197</v>
      </c>
      <c r="K142" t="s">
        <v>198</v>
      </c>
      <c r="L142" t="s">
        <v>199</v>
      </c>
      <c r="M142" t="s">
        <v>263</v>
      </c>
      <c r="N142" t="s">
        <v>788</v>
      </c>
    </row>
    <row r="143" spans="1:14" ht="15" customHeight="1">
      <c r="A143" t="s">
        <v>789</v>
      </c>
      <c r="B143" t="s">
        <v>790</v>
      </c>
      <c r="C143" t="s">
        <v>193</v>
      </c>
      <c r="D143" t="s">
        <v>261</v>
      </c>
      <c r="E143" t="s">
        <v>262</v>
      </c>
      <c r="F143" t="s">
        <v>16</v>
      </c>
      <c r="G143" t="s">
        <v>17</v>
      </c>
      <c r="H143" t="s">
        <v>196</v>
      </c>
      <c r="J143" t="s">
        <v>197</v>
      </c>
      <c r="K143" t="s">
        <v>198</v>
      </c>
      <c r="L143" t="s">
        <v>199</v>
      </c>
      <c r="M143" t="s">
        <v>263</v>
      </c>
      <c r="N143" t="s">
        <v>791</v>
      </c>
    </row>
    <row r="144" spans="1:14" ht="15" customHeight="1">
      <c r="A144" t="s">
        <v>792</v>
      </c>
      <c r="B144" t="s">
        <v>793</v>
      </c>
      <c r="C144" t="s">
        <v>193</v>
      </c>
      <c r="D144" t="s">
        <v>261</v>
      </c>
      <c r="E144" t="s">
        <v>262</v>
      </c>
      <c r="F144" t="s">
        <v>16</v>
      </c>
      <c r="G144" t="s">
        <v>17</v>
      </c>
      <c r="H144" t="s">
        <v>196</v>
      </c>
      <c r="J144" t="s">
        <v>197</v>
      </c>
      <c r="K144" t="s">
        <v>198</v>
      </c>
      <c r="L144" t="s">
        <v>199</v>
      </c>
      <c r="M144" t="s">
        <v>263</v>
      </c>
      <c r="N144" t="s">
        <v>794</v>
      </c>
    </row>
    <row r="145" spans="1:14" ht="15" customHeight="1">
      <c r="A145" t="s">
        <v>795</v>
      </c>
      <c r="B145" t="s">
        <v>796</v>
      </c>
      <c r="C145" t="s">
        <v>193</v>
      </c>
      <c r="D145" t="s">
        <v>264</v>
      </c>
      <c r="E145" t="s">
        <v>265</v>
      </c>
      <c r="F145" t="s">
        <v>16</v>
      </c>
      <c r="G145" t="s">
        <v>17</v>
      </c>
      <c r="H145" t="s">
        <v>196</v>
      </c>
      <c r="J145" t="s">
        <v>197</v>
      </c>
      <c r="K145" t="s">
        <v>198</v>
      </c>
      <c r="L145" t="s">
        <v>176</v>
      </c>
      <c r="M145" t="s">
        <v>266</v>
      </c>
      <c r="N145" t="s">
        <v>797</v>
      </c>
    </row>
    <row r="146" spans="1:14" ht="15" customHeight="1">
      <c r="A146" t="s">
        <v>798</v>
      </c>
      <c r="B146" t="s">
        <v>799</v>
      </c>
      <c r="C146" t="s">
        <v>193</v>
      </c>
      <c r="D146" t="s">
        <v>264</v>
      </c>
      <c r="E146" t="s">
        <v>265</v>
      </c>
      <c r="F146" t="s">
        <v>16</v>
      </c>
      <c r="G146" t="s">
        <v>17</v>
      </c>
      <c r="H146" t="s">
        <v>196</v>
      </c>
      <c r="J146" t="s">
        <v>197</v>
      </c>
      <c r="K146" t="s">
        <v>198</v>
      </c>
      <c r="L146" t="s">
        <v>176</v>
      </c>
      <c r="M146" t="s">
        <v>266</v>
      </c>
      <c r="N146" t="s">
        <v>800</v>
      </c>
    </row>
    <row r="147" spans="1:14" ht="15" customHeight="1">
      <c r="A147" t="s">
        <v>801</v>
      </c>
      <c r="B147" t="s">
        <v>802</v>
      </c>
      <c r="C147" t="s">
        <v>193</v>
      </c>
      <c r="D147" t="s">
        <v>264</v>
      </c>
      <c r="E147" t="s">
        <v>265</v>
      </c>
      <c r="F147" t="s">
        <v>16</v>
      </c>
      <c r="G147" t="s">
        <v>17</v>
      </c>
      <c r="H147" t="s">
        <v>196</v>
      </c>
      <c r="J147" t="s">
        <v>197</v>
      </c>
      <c r="K147" t="s">
        <v>198</v>
      </c>
      <c r="L147" t="s">
        <v>176</v>
      </c>
      <c r="M147" t="s">
        <v>266</v>
      </c>
      <c r="N147" t="s">
        <v>803</v>
      </c>
    </row>
    <row r="148" spans="1:14" ht="15" customHeight="1">
      <c r="A148" t="s">
        <v>804</v>
      </c>
      <c r="B148" t="s">
        <v>805</v>
      </c>
      <c r="C148" t="s">
        <v>193</v>
      </c>
      <c r="D148" t="s">
        <v>264</v>
      </c>
      <c r="E148" t="s">
        <v>265</v>
      </c>
      <c r="F148" t="s">
        <v>16</v>
      </c>
      <c r="G148" t="s">
        <v>17</v>
      </c>
      <c r="H148" t="s">
        <v>196</v>
      </c>
      <c r="J148" t="s">
        <v>197</v>
      </c>
      <c r="K148" t="s">
        <v>198</v>
      </c>
      <c r="L148" t="s">
        <v>176</v>
      </c>
      <c r="M148" t="s">
        <v>266</v>
      </c>
      <c r="N148" t="s">
        <v>806</v>
      </c>
    </row>
    <row r="149" spans="1:14" ht="15" customHeight="1">
      <c r="A149" t="s">
        <v>807</v>
      </c>
      <c r="B149" t="s">
        <v>808</v>
      </c>
      <c r="C149" t="s">
        <v>193</v>
      </c>
      <c r="D149" t="s">
        <v>268</v>
      </c>
      <c r="E149" t="s">
        <v>269</v>
      </c>
      <c r="F149" t="s">
        <v>16</v>
      </c>
      <c r="G149" t="s">
        <v>17</v>
      </c>
      <c r="H149" t="s">
        <v>270</v>
      </c>
      <c r="J149" t="s">
        <v>197</v>
      </c>
      <c r="K149" t="s">
        <v>198</v>
      </c>
      <c r="L149" t="s">
        <v>199</v>
      </c>
      <c r="M149" t="s">
        <v>271</v>
      </c>
      <c r="N149" t="s">
        <v>809</v>
      </c>
    </row>
    <row r="150" spans="1:14" ht="15" customHeight="1">
      <c r="A150" t="s">
        <v>810</v>
      </c>
      <c r="B150" t="s">
        <v>811</v>
      </c>
      <c r="C150" t="s">
        <v>193</v>
      </c>
      <c r="D150" t="s">
        <v>268</v>
      </c>
      <c r="E150" t="s">
        <v>269</v>
      </c>
      <c r="F150" t="s">
        <v>16</v>
      </c>
      <c r="G150" t="s">
        <v>17</v>
      </c>
      <c r="H150" t="s">
        <v>270</v>
      </c>
      <c r="J150" t="s">
        <v>197</v>
      </c>
      <c r="K150" t="s">
        <v>198</v>
      </c>
      <c r="L150" t="s">
        <v>199</v>
      </c>
      <c r="M150" t="s">
        <v>271</v>
      </c>
      <c r="N150" t="s">
        <v>812</v>
      </c>
    </row>
    <row r="151" spans="1:14" ht="15" customHeight="1">
      <c r="A151" t="s">
        <v>813</v>
      </c>
      <c r="B151" t="s">
        <v>814</v>
      </c>
      <c r="C151" t="s">
        <v>193</v>
      </c>
      <c r="D151" t="s">
        <v>268</v>
      </c>
      <c r="E151" t="s">
        <v>269</v>
      </c>
      <c r="F151" t="s">
        <v>16</v>
      </c>
      <c r="G151" t="s">
        <v>17</v>
      </c>
      <c r="H151" t="s">
        <v>270</v>
      </c>
      <c r="J151" t="s">
        <v>197</v>
      </c>
      <c r="K151" t="s">
        <v>198</v>
      </c>
      <c r="L151" t="s">
        <v>199</v>
      </c>
      <c r="M151" t="s">
        <v>271</v>
      </c>
      <c r="N151" t="s">
        <v>815</v>
      </c>
    </row>
    <row r="152" spans="1:14" ht="15" customHeight="1">
      <c r="A152" t="s">
        <v>816</v>
      </c>
      <c r="B152" t="s">
        <v>817</v>
      </c>
      <c r="C152" t="s">
        <v>193</v>
      </c>
      <c r="D152" t="s">
        <v>268</v>
      </c>
      <c r="E152" t="s">
        <v>269</v>
      </c>
      <c r="F152" t="s">
        <v>16</v>
      </c>
      <c r="G152" t="s">
        <v>17</v>
      </c>
      <c r="H152" t="s">
        <v>270</v>
      </c>
      <c r="J152" t="s">
        <v>197</v>
      </c>
      <c r="K152" t="s">
        <v>198</v>
      </c>
      <c r="L152" t="s">
        <v>199</v>
      </c>
      <c r="M152" t="s">
        <v>271</v>
      </c>
      <c r="N152" t="s">
        <v>818</v>
      </c>
    </row>
    <row r="153" spans="1:14" ht="15" customHeight="1">
      <c r="A153" t="s">
        <v>819</v>
      </c>
      <c r="B153" t="s">
        <v>820</v>
      </c>
      <c r="C153" t="s">
        <v>193</v>
      </c>
      <c r="D153" t="s">
        <v>272</v>
      </c>
      <c r="E153" t="s">
        <v>273</v>
      </c>
      <c r="F153" t="s">
        <v>16</v>
      </c>
      <c r="G153" t="s">
        <v>17</v>
      </c>
      <c r="H153" t="s">
        <v>270</v>
      </c>
      <c r="J153" t="s">
        <v>197</v>
      </c>
      <c r="K153" t="s">
        <v>198</v>
      </c>
      <c r="L153" t="s">
        <v>21</v>
      </c>
      <c r="M153" t="s">
        <v>274</v>
      </c>
      <c r="N153" t="s">
        <v>821</v>
      </c>
    </row>
    <row r="154" spans="1:14" ht="15" customHeight="1">
      <c r="A154" t="s">
        <v>822</v>
      </c>
      <c r="B154" t="s">
        <v>823</v>
      </c>
      <c r="C154" t="s">
        <v>193</v>
      </c>
      <c r="D154" t="s">
        <v>272</v>
      </c>
      <c r="E154" t="s">
        <v>273</v>
      </c>
      <c r="F154" t="s">
        <v>16</v>
      </c>
      <c r="G154" t="s">
        <v>17</v>
      </c>
      <c r="H154" t="s">
        <v>270</v>
      </c>
      <c r="J154" t="s">
        <v>197</v>
      </c>
      <c r="K154" t="s">
        <v>198</v>
      </c>
      <c r="L154" t="s">
        <v>21</v>
      </c>
      <c r="M154" t="s">
        <v>274</v>
      </c>
      <c r="N154" t="s">
        <v>824</v>
      </c>
    </row>
    <row r="155" spans="1:14" ht="15" customHeight="1">
      <c r="A155" t="s">
        <v>825</v>
      </c>
      <c r="B155" t="s">
        <v>826</v>
      </c>
      <c r="C155" t="s">
        <v>193</v>
      </c>
      <c r="D155" t="s">
        <v>272</v>
      </c>
      <c r="E155" t="s">
        <v>273</v>
      </c>
      <c r="F155" t="s">
        <v>16</v>
      </c>
      <c r="G155" t="s">
        <v>17</v>
      </c>
      <c r="H155" t="s">
        <v>270</v>
      </c>
      <c r="J155" t="s">
        <v>197</v>
      </c>
      <c r="K155" t="s">
        <v>198</v>
      </c>
      <c r="L155" t="s">
        <v>21</v>
      </c>
      <c r="M155" t="s">
        <v>274</v>
      </c>
      <c r="N155" t="s">
        <v>827</v>
      </c>
    </row>
    <row r="156" spans="1:14" ht="15" customHeight="1">
      <c r="A156" t="s">
        <v>828</v>
      </c>
      <c r="B156" t="s">
        <v>829</v>
      </c>
      <c r="C156" t="s">
        <v>193</v>
      </c>
      <c r="D156" t="s">
        <v>272</v>
      </c>
      <c r="E156" t="s">
        <v>273</v>
      </c>
      <c r="F156" t="s">
        <v>16</v>
      </c>
      <c r="G156" t="s">
        <v>17</v>
      </c>
      <c r="H156" t="s">
        <v>270</v>
      </c>
      <c r="J156" t="s">
        <v>197</v>
      </c>
      <c r="K156" t="s">
        <v>198</v>
      </c>
      <c r="L156" t="s">
        <v>21</v>
      </c>
      <c r="M156" t="s">
        <v>274</v>
      </c>
      <c r="N156" t="s">
        <v>830</v>
      </c>
    </row>
    <row r="157" spans="1:14" ht="15" customHeight="1">
      <c r="A157" t="s">
        <v>831</v>
      </c>
      <c r="B157" t="s">
        <v>832</v>
      </c>
      <c r="C157" t="s">
        <v>193</v>
      </c>
      <c r="D157" t="s">
        <v>275</v>
      </c>
      <c r="E157" t="s">
        <v>276</v>
      </c>
      <c r="F157" t="s">
        <v>16</v>
      </c>
      <c r="G157" t="s">
        <v>17</v>
      </c>
      <c r="H157" t="s">
        <v>209</v>
      </c>
      <c r="J157" t="s">
        <v>197</v>
      </c>
      <c r="K157" t="s">
        <v>198</v>
      </c>
      <c r="L157" t="s">
        <v>176</v>
      </c>
      <c r="M157" t="s">
        <v>277</v>
      </c>
      <c r="N157" t="s">
        <v>833</v>
      </c>
    </row>
    <row r="158" spans="1:14" ht="15" customHeight="1">
      <c r="A158" t="s">
        <v>834</v>
      </c>
      <c r="B158" t="s">
        <v>835</v>
      </c>
      <c r="C158" t="s">
        <v>193</v>
      </c>
      <c r="D158" t="s">
        <v>275</v>
      </c>
      <c r="E158" t="s">
        <v>276</v>
      </c>
      <c r="F158" t="s">
        <v>16</v>
      </c>
      <c r="G158" t="s">
        <v>17</v>
      </c>
      <c r="H158" t="s">
        <v>209</v>
      </c>
      <c r="J158" t="s">
        <v>197</v>
      </c>
      <c r="K158" t="s">
        <v>198</v>
      </c>
      <c r="L158" t="s">
        <v>176</v>
      </c>
      <c r="M158" t="s">
        <v>277</v>
      </c>
      <c r="N158" t="s">
        <v>836</v>
      </c>
    </row>
    <row r="159" spans="1:14" ht="15" customHeight="1">
      <c r="A159" t="s">
        <v>837</v>
      </c>
      <c r="B159" t="s">
        <v>838</v>
      </c>
      <c r="C159" t="s">
        <v>193</v>
      </c>
      <c r="D159" t="s">
        <v>275</v>
      </c>
      <c r="E159" t="s">
        <v>276</v>
      </c>
      <c r="F159" t="s">
        <v>16</v>
      </c>
      <c r="G159" t="s">
        <v>17</v>
      </c>
      <c r="H159" t="s">
        <v>209</v>
      </c>
      <c r="J159" t="s">
        <v>197</v>
      </c>
      <c r="K159" t="s">
        <v>198</v>
      </c>
      <c r="L159" t="s">
        <v>176</v>
      </c>
      <c r="M159" t="s">
        <v>277</v>
      </c>
      <c r="N159" t="s">
        <v>839</v>
      </c>
    </row>
    <row r="160" spans="1:14" ht="15" customHeight="1">
      <c r="A160" t="s">
        <v>840</v>
      </c>
      <c r="B160" t="s">
        <v>841</v>
      </c>
      <c r="C160" t="s">
        <v>193</v>
      </c>
      <c r="D160" t="s">
        <v>275</v>
      </c>
      <c r="E160" t="s">
        <v>276</v>
      </c>
      <c r="F160" t="s">
        <v>16</v>
      </c>
      <c r="G160" t="s">
        <v>17</v>
      </c>
      <c r="H160" t="s">
        <v>209</v>
      </c>
      <c r="J160" t="s">
        <v>197</v>
      </c>
      <c r="K160" t="s">
        <v>198</v>
      </c>
      <c r="L160" t="s">
        <v>176</v>
      </c>
      <c r="M160" t="s">
        <v>277</v>
      </c>
      <c r="N160" t="s">
        <v>842</v>
      </c>
    </row>
    <row r="161" spans="1:14" ht="15" customHeight="1">
      <c r="A161" t="s">
        <v>843</v>
      </c>
      <c r="B161" t="s">
        <v>844</v>
      </c>
      <c r="C161" t="s">
        <v>193</v>
      </c>
      <c r="D161" t="s">
        <v>275</v>
      </c>
      <c r="E161" t="s">
        <v>276</v>
      </c>
      <c r="F161" t="s">
        <v>16</v>
      </c>
      <c r="G161" t="s">
        <v>17</v>
      </c>
      <c r="H161" t="s">
        <v>209</v>
      </c>
      <c r="J161" t="s">
        <v>197</v>
      </c>
      <c r="K161" t="s">
        <v>198</v>
      </c>
      <c r="L161" t="s">
        <v>176</v>
      </c>
      <c r="M161" t="s">
        <v>277</v>
      </c>
      <c r="N161" t="s">
        <v>845</v>
      </c>
    </row>
    <row r="162" spans="1:14" ht="15" customHeight="1">
      <c r="A162" t="s">
        <v>846</v>
      </c>
      <c r="B162" t="s">
        <v>847</v>
      </c>
      <c r="C162" t="s">
        <v>193</v>
      </c>
      <c r="D162" t="s">
        <v>278</v>
      </c>
      <c r="E162" t="s">
        <v>279</v>
      </c>
      <c r="F162" t="s">
        <v>16</v>
      </c>
      <c r="G162" t="s">
        <v>17</v>
      </c>
      <c r="H162" t="s">
        <v>270</v>
      </c>
      <c r="J162" t="s">
        <v>197</v>
      </c>
      <c r="K162" t="s">
        <v>198</v>
      </c>
      <c r="L162" t="s">
        <v>199</v>
      </c>
      <c r="M162" t="s">
        <v>280</v>
      </c>
      <c r="N162" t="s">
        <v>848</v>
      </c>
    </row>
    <row r="163" spans="1:14" ht="15" customHeight="1">
      <c r="A163" t="s">
        <v>849</v>
      </c>
      <c r="B163" t="s">
        <v>850</v>
      </c>
      <c r="C163" t="s">
        <v>193</v>
      </c>
      <c r="D163" t="s">
        <v>278</v>
      </c>
      <c r="E163" t="s">
        <v>279</v>
      </c>
      <c r="F163" t="s">
        <v>16</v>
      </c>
      <c r="G163" t="s">
        <v>17</v>
      </c>
      <c r="H163" t="s">
        <v>270</v>
      </c>
      <c r="J163" t="s">
        <v>197</v>
      </c>
      <c r="K163" t="s">
        <v>198</v>
      </c>
      <c r="L163" t="s">
        <v>199</v>
      </c>
      <c r="M163" t="s">
        <v>280</v>
      </c>
      <c r="N163" t="s">
        <v>851</v>
      </c>
    </row>
    <row r="164" spans="1:14" ht="15" customHeight="1">
      <c r="A164" t="s">
        <v>852</v>
      </c>
      <c r="B164" t="s">
        <v>853</v>
      </c>
      <c r="C164" t="s">
        <v>193</v>
      </c>
      <c r="D164" t="s">
        <v>278</v>
      </c>
      <c r="E164" t="s">
        <v>279</v>
      </c>
      <c r="F164" t="s">
        <v>16</v>
      </c>
      <c r="G164" t="s">
        <v>17</v>
      </c>
      <c r="H164" t="s">
        <v>270</v>
      </c>
      <c r="J164" t="s">
        <v>197</v>
      </c>
      <c r="K164" t="s">
        <v>198</v>
      </c>
      <c r="L164" t="s">
        <v>199</v>
      </c>
      <c r="M164" t="s">
        <v>280</v>
      </c>
      <c r="N164" t="s">
        <v>854</v>
      </c>
    </row>
    <row r="165" spans="1:14" ht="15" customHeight="1">
      <c r="A165" t="s">
        <v>855</v>
      </c>
      <c r="B165" t="s">
        <v>856</v>
      </c>
      <c r="C165" t="s">
        <v>193</v>
      </c>
      <c r="D165" t="s">
        <v>278</v>
      </c>
      <c r="E165" t="s">
        <v>279</v>
      </c>
      <c r="F165" t="s">
        <v>16</v>
      </c>
      <c r="G165" t="s">
        <v>17</v>
      </c>
      <c r="H165" t="s">
        <v>270</v>
      </c>
      <c r="J165" t="s">
        <v>197</v>
      </c>
      <c r="K165" t="s">
        <v>198</v>
      </c>
      <c r="L165" t="s">
        <v>199</v>
      </c>
      <c r="M165" t="s">
        <v>280</v>
      </c>
      <c r="N165" t="s">
        <v>857</v>
      </c>
    </row>
    <row r="166" spans="1:14" ht="15" customHeight="1">
      <c r="A166" t="s">
        <v>858</v>
      </c>
      <c r="B166" t="s">
        <v>859</v>
      </c>
      <c r="C166" t="s">
        <v>193</v>
      </c>
      <c r="D166" t="s">
        <v>281</v>
      </c>
      <c r="E166" t="s">
        <v>282</v>
      </c>
      <c r="F166" t="s">
        <v>16</v>
      </c>
      <c r="G166" t="s">
        <v>17</v>
      </c>
      <c r="H166" t="s">
        <v>270</v>
      </c>
      <c r="J166" t="s">
        <v>197</v>
      </c>
      <c r="K166" t="s">
        <v>198</v>
      </c>
      <c r="L166" t="s">
        <v>21</v>
      </c>
      <c r="M166" t="s">
        <v>283</v>
      </c>
      <c r="N166" t="s">
        <v>860</v>
      </c>
    </row>
    <row r="167" spans="1:14" ht="15" customHeight="1">
      <c r="A167" t="s">
        <v>861</v>
      </c>
      <c r="B167" t="s">
        <v>862</v>
      </c>
      <c r="C167" t="s">
        <v>193</v>
      </c>
      <c r="D167" t="s">
        <v>281</v>
      </c>
      <c r="E167" t="s">
        <v>282</v>
      </c>
      <c r="F167" t="s">
        <v>16</v>
      </c>
      <c r="G167" t="s">
        <v>17</v>
      </c>
      <c r="H167" t="s">
        <v>270</v>
      </c>
      <c r="J167" t="s">
        <v>197</v>
      </c>
      <c r="K167" t="s">
        <v>198</v>
      </c>
      <c r="L167" t="s">
        <v>21</v>
      </c>
      <c r="M167" t="s">
        <v>283</v>
      </c>
      <c r="N167" t="s">
        <v>863</v>
      </c>
    </row>
    <row r="168" spans="1:14" ht="15" customHeight="1">
      <c r="A168" t="s">
        <v>864</v>
      </c>
      <c r="B168" t="s">
        <v>865</v>
      </c>
      <c r="C168" t="s">
        <v>193</v>
      </c>
      <c r="D168" t="s">
        <v>281</v>
      </c>
      <c r="E168" t="s">
        <v>282</v>
      </c>
      <c r="F168" t="s">
        <v>16</v>
      </c>
      <c r="G168" t="s">
        <v>17</v>
      </c>
      <c r="H168" t="s">
        <v>270</v>
      </c>
      <c r="J168" t="s">
        <v>197</v>
      </c>
      <c r="K168" t="s">
        <v>198</v>
      </c>
      <c r="L168" t="s">
        <v>21</v>
      </c>
      <c r="M168" t="s">
        <v>283</v>
      </c>
      <c r="N168" t="s">
        <v>866</v>
      </c>
    </row>
    <row r="169" spans="1:14" ht="15" customHeight="1">
      <c r="A169" t="s">
        <v>867</v>
      </c>
      <c r="B169" t="s">
        <v>868</v>
      </c>
      <c r="C169" t="s">
        <v>193</v>
      </c>
      <c r="D169" t="s">
        <v>281</v>
      </c>
      <c r="E169" t="s">
        <v>282</v>
      </c>
      <c r="F169" t="s">
        <v>16</v>
      </c>
      <c r="G169" t="s">
        <v>17</v>
      </c>
      <c r="H169" t="s">
        <v>270</v>
      </c>
      <c r="J169" t="s">
        <v>197</v>
      </c>
      <c r="K169" t="s">
        <v>198</v>
      </c>
      <c r="L169" t="s">
        <v>21</v>
      </c>
      <c r="M169" t="s">
        <v>283</v>
      </c>
      <c r="N169" t="s">
        <v>869</v>
      </c>
    </row>
    <row r="170" spans="1:14" ht="15" customHeight="1">
      <c r="A170" t="s">
        <v>870</v>
      </c>
      <c r="B170" t="s">
        <v>871</v>
      </c>
      <c r="C170" t="s">
        <v>284</v>
      </c>
      <c r="D170" t="s">
        <v>285</v>
      </c>
      <c r="E170" t="s">
        <v>286</v>
      </c>
      <c r="F170" t="s">
        <v>16</v>
      </c>
      <c r="G170" t="s">
        <v>17</v>
      </c>
      <c r="H170" t="s">
        <v>287</v>
      </c>
      <c r="J170" t="s">
        <v>197</v>
      </c>
      <c r="K170" t="s">
        <v>198</v>
      </c>
      <c r="L170" t="s">
        <v>21</v>
      </c>
      <c r="M170" t="s">
        <v>288</v>
      </c>
      <c r="N170" t="s">
        <v>872</v>
      </c>
    </row>
    <row r="171" spans="1:14" ht="15" customHeight="1">
      <c r="A171" t="s">
        <v>873</v>
      </c>
      <c r="B171" t="s">
        <v>874</v>
      </c>
      <c r="C171" t="s">
        <v>284</v>
      </c>
      <c r="D171" t="s">
        <v>285</v>
      </c>
      <c r="E171" t="s">
        <v>286</v>
      </c>
      <c r="F171" t="s">
        <v>16</v>
      </c>
      <c r="G171" t="s">
        <v>17</v>
      </c>
      <c r="H171" t="s">
        <v>287</v>
      </c>
      <c r="J171" t="s">
        <v>197</v>
      </c>
      <c r="K171" t="s">
        <v>198</v>
      </c>
      <c r="L171" t="s">
        <v>21</v>
      </c>
      <c r="M171" t="s">
        <v>288</v>
      </c>
      <c r="N171" t="s">
        <v>875</v>
      </c>
    </row>
    <row r="172" spans="1:14" ht="15" customHeight="1">
      <c r="A172" t="s">
        <v>876</v>
      </c>
      <c r="B172" t="s">
        <v>877</v>
      </c>
      <c r="C172" t="s">
        <v>284</v>
      </c>
      <c r="D172" t="s">
        <v>285</v>
      </c>
      <c r="E172" t="s">
        <v>286</v>
      </c>
      <c r="F172" t="s">
        <v>16</v>
      </c>
      <c r="G172" t="s">
        <v>17</v>
      </c>
      <c r="H172" t="s">
        <v>287</v>
      </c>
      <c r="J172" t="s">
        <v>197</v>
      </c>
      <c r="K172" t="s">
        <v>198</v>
      </c>
      <c r="L172" t="s">
        <v>21</v>
      </c>
      <c r="M172" t="s">
        <v>288</v>
      </c>
      <c r="N172" t="s">
        <v>878</v>
      </c>
    </row>
    <row r="173" spans="1:14" ht="15" customHeight="1">
      <c r="A173" t="s">
        <v>879</v>
      </c>
      <c r="B173" t="s">
        <v>880</v>
      </c>
      <c r="C173" t="s">
        <v>284</v>
      </c>
      <c r="D173" t="s">
        <v>285</v>
      </c>
      <c r="E173" t="s">
        <v>286</v>
      </c>
      <c r="F173" t="s">
        <v>16</v>
      </c>
      <c r="G173" t="s">
        <v>17</v>
      </c>
      <c r="H173" t="s">
        <v>287</v>
      </c>
      <c r="J173" t="s">
        <v>197</v>
      </c>
      <c r="K173" t="s">
        <v>198</v>
      </c>
      <c r="L173" t="s">
        <v>21</v>
      </c>
      <c r="M173" t="s">
        <v>288</v>
      </c>
      <c r="N173" t="s">
        <v>881</v>
      </c>
    </row>
    <row r="174" spans="1:14" ht="15" customHeight="1">
      <c r="A174" t="s">
        <v>882</v>
      </c>
      <c r="B174" t="s">
        <v>883</v>
      </c>
      <c r="C174" t="s">
        <v>284</v>
      </c>
      <c r="D174" t="s">
        <v>285</v>
      </c>
      <c r="E174" t="s">
        <v>286</v>
      </c>
      <c r="F174" t="s">
        <v>16</v>
      </c>
      <c r="G174" t="s">
        <v>17</v>
      </c>
      <c r="H174" t="s">
        <v>287</v>
      </c>
      <c r="J174" t="s">
        <v>197</v>
      </c>
      <c r="K174" t="s">
        <v>198</v>
      </c>
      <c r="L174" t="s">
        <v>21</v>
      </c>
      <c r="M174" t="s">
        <v>288</v>
      </c>
      <c r="N174" t="s">
        <v>884</v>
      </c>
    </row>
    <row r="175" spans="1:14" ht="15" customHeight="1">
      <c r="A175" t="s">
        <v>885</v>
      </c>
      <c r="B175" t="s">
        <v>886</v>
      </c>
      <c r="C175" t="s">
        <v>284</v>
      </c>
      <c r="D175" t="s">
        <v>301</v>
      </c>
      <c r="E175" t="s">
        <v>302</v>
      </c>
      <c r="F175" t="s">
        <v>16</v>
      </c>
      <c r="G175" t="s">
        <v>17</v>
      </c>
      <c r="H175" t="s">
        <v>287</v>
      </c>
      <c r="J175" t="s">
        <v>197</v>
      </c>
      <c r="K175" t="s">
        <v>198</v>
      </c>
      <c r="L175" t="s">
        <v>21</v>
      </c>
      <c r="M175" t="s">
        <v>303</v>
      </c>
      <c r="N175" t="s">
        <v>887</v>
      </c>
    </row>
    <row r="176" spans="1:14" ht="15" customHeight="1">
      <c r="A176" t="s">
        <v>888</v>
      </c>
      <c r="B176" t="s">
        <v>889</v>
      </c>
      <c r="C176" t="s">
        <v>284</v>
      </c>
      <c r="D176" t="s">
        <v>301</v>
      </c>
      <c r="E176" t="s">
        <v>302</v>
      </c>
      <c r="F176" t="s">
        <v>16</v>
      </c>
      <c r="G176" t="s">
        <v>17</v>
      </c>
      <c r="H176" t="s">
        <v>287</v>
      </c>
      <c r="J176" t="s">
        <v>197</v>
      </c>
      <c r="K176" t="s">
        <v>198</v>
      </c>
      <c r="L176" t="s">
        <v>21</v>
      </c>
      <c r="M176" t="s">
        <v>303</v>
      </c>
      <c r="N176" t="s">
        <v>890</v>
      </c>
    </row>
    <row r="177" spans="1:14" ht="15" customHeight="1">
      <c r="A177" t="s">
        <v>891</v>
      </c>
      <c r="B177" t="s">
        <v>892</v>
      </c>
      <c r="C177" t="s">
        <v>284</v>
      </c>
      <c r="D177" t="s">
        <v>301</v>
      </c>
      <c r="E177" t="s">
        <v>302</v>
      </c>
      <c r="F177" t="s">
        <v>16</v>
      </c>
      <c r="G177" t="s">
        <v>17</v>
      </c>
      <c r="H177" t="s">
        <v>287</v>
      </c>
      <c r="J177" t="s">
        <v>197</v>
      </c>
      <c r="K177" t="s">
        <v>198</v>
      </c>
      <c r="L177" t="s">
        <v>21</v>
      </c>
      <c r="M177" t="s">
        <v>303</v>
      </c>
      <c r="N177" t="s">
        <v>893</v>
      </c>
    </row>
    <row r="178" spans="1:14" ht="15" customHeight="1">
      <c r="A178" t="s">
        <v>894</v>
      </c>
      <c r="B178" t="s">
        <v>895</v>
      </c>
      <c r="C178" t="s">
        <v>284</v>
      </c>
      <c r="D178" t="s">
        <v>301</v>
      </c>
      <c r="E178" t="s">
        <v>302</v>
      </c>
      <c r="F178" t="s">
        <v>16</v>
      </c>
      <c r="G178" t="s">
        <v>17</v>
      </c>
      <c r="H178" t="s">
        <v>287</v>
      </c>
      <c r="J178" t="s">
        <v>197</v>
      </c>
      <c r="K178" t="s">
        <v>198</v>
      </c>
      <c r="L178" t="s">
        <v>21</v>
      </c>
      <c r="M178" t="s">
        <v>303</v>
      </c>
      <c r="N178" t="s">
        <v>896</v>
      </c>
    </row>
    <row r="179" spans="1:14" ht="15" customHeight="1">
      <c r="A179" t="s">
        <v>897</v>
      </c>
      <c r="B179" t="s">
        <v>898</v>
      </c>
      <c r="C179" t="s">
        <v>304</v>
      </c>
      <c r="D179" t="s">
        <v>307</v>
      </c>
      <c r="E179" t="s">
        <v>309</v>
      </c>
      <c r="F179" t="s">
        <v>16</v>
      </c>
      <c r="G179" t="s">
        <v>17</v>
      </c>
      <c r="H179" t="s">
        <v>122</v>
      </c>
      <c r="J179" t="s">
        <v>40</v>
      </c>
      <c r="K179" t="s">
        <v>41</v>
      </c>
      <c r="L179" t="s">
        <v>137</v>
      </c>
      <c r="M179" t="s">
        <v>310</v>
      </c>
      <c r="N179" t="s">
        <v>899</v>
      </c>
    </row>
    <row r="180" spans="1:14" ht="15" customHeight="1">
      <c r="A180" t="s">
        <v>900</v>
      </c>
      <c r="B180" t="s">
        <v>901</v>
      </c>
      <c r="C180" t="s">
        <v>304</v>
      </c>
      <c r="D180" t="s">
        <v>307</v>
      </c>
      <c r="E180" t="s">
        <v>309</v>
      </c>
      <c r="F180" t="s">
        <v>16</v>
      </c>
      <c r="G180" t="s">
        <v>17</v>
      </c>
      <c r="H180" t="s">
        <v>122</v>
      </c>
      <c r="J180" t="s">
        <v>40</v>
      </c>
      <c r="K180" t="s">
        <v>41</v>
      </c>
      <c r="L180" t="s">
        <v>137</v>
      </c>
      <c r="M180" t="s">
        <v>310</v>
      </c>
      <c r="N180" t="s">
        <v>902</v>
      </c>
    </row>
    <row r="181" spans="1:14" ht="15" customHeight="1">
      <c r="A181" t="s">
        <v>903</v>
      </c>
      <c r="B181" t="s">
        <v>904</v>
      </c>
      <c r="C181" t="s">
        <v>304</v>
      </c>
      <c r="D181" t="s">
        <v>307</v>
      </c>
      <c r="E181" t="s">
        <v>309</v>
      </c>
      <c r="F181" t="s">
        <v>16</v>
      </c>
      <c r="G181" t="s">
        <v>17</v>
      </c>
      <c r="H181" t="s">
        <v>122</v>
      </c>
      <c r="J181" t="s">
        <v>40</v>
      </c>
      <c r="K181" t="s">
        <v>41</v>
      </c>
      <c r="L181" t="s">
        <v>137</v>
      </c>
      <c r="M181" t="s">
        <v>310</v>
      </c>
      <c r="N181" t="s">
        <v>905</v>
      </c>
    </row>
    <row r="182" spans="1:14" ht="15" customHeight="1">
      <c r="A182" t="s">
        <v>906</v>
      </c>
      <c r="B182" t="s">
        <v>907</v>
      </c>
      <c r="C182" t="s">
        <v>304</v>
      </c>
      <c r="D182" t="s">
        <v>307</v>
      </c>
      <c r="E182" t="s">
        <v>309</v>
      </c>
      <c r="F182" t="s">
        <v>16</v>
      </c>
      <c r="G182" t="s">
        <v>17</v>
      </c>
      <c r="H182" t="s">
        <v>122</v>
      </c>
      <c r="J182" t="s">
        <v>40</v>
      </c>
      <c r="K182" t="s">
        <v>41</v>
      </c>
      <c r="L182" t="s">
        <v>137</v>
      </c>
      <c r="M182" t="s">
        <v>310</v>
      </c>
      <c r="N182" t="s">
        <v>908</v>
      </c>
    </row>
    <row r="183" spans="1:14" ht="15" customHeight="1">
      <c r="A183" t="s">
        <v>909</v>
      </c>
      <c r="B183" t="s">
        <v>910</v>
      </c>
      <c r="C183" t="s">
        <v>304</v>
      </c>
      <c r="D183" t="s">
        <v>307</v>
      </c>
      <c r="E183" t="s">
        <v>309</v>
      </c>
      <c r="F183" t="s">
        <v>16</v>
      </c>
      <c r="G183" t="s">
        <v>17</v>
      </c>
      <c r="H183" t="s">
        <v>122</v>
      </c>
      <c r="J183" t="s">
        <v>40</v>
      </c>
      <c r="K183" t="s">
        <v>41</v>
      </c>
      <c r="L183" t="s">
        <v>137</v>
      </c>
      <c r="M183" t="s">
        <v>310</v>
      </c>
      <c r="N183" t="s">
        <v>911</v>
      </c>
    </row>
    <row r="184" spans="1:14" ht="15" customHeight="1">
      <c r="A184" t="s">
        <v>912</v>
      </c>
      <c r="B184" t="s">
        <v>913</v>
      </c>
      <c r="C184" t="s">
        <v>304</v>
      </c>
      <c r="D184" t="s">
        <v>311</v>
      </c>
      <c r="E184" t="s">
        <v>312</v>
      </c>
      <c r="F184" t="s">
        <v>16</v>
      </c>
      <c r="G184" t="s">
        <v>17</v>
      </c>
      <c r="H184" t="s">
        <v>122</v>
      </c>
      <c r="I184" t="s">
        <v>307</v>
      </c>
      <c r="J184" t="s">
        <v>40</v>
      </c>
      <c r="K184" t="s">
        <v>41</v>
      </c>
      <c r="L184" t="s">
        <v>137</v>
      </c>
      <c r="M184" t="s">
        <v>313</v>
      </c>
      <c r="N184" t="s">
        <v>914</v>
      </c>
    </row>
    <row r="185" spans="1:14" ht="15" customHeight="1">
      <c r="A185" t="s">
        <v>915</v>
      </c>
      <c r="B185" t="s">
        <v>916</v>
      </c>
      <c r="C185" t="s">
        <v>304</v>
      </c>
      <c r="D185" t="s">
        <v>311</v>
      </c>
      <c r="E185" t="s">
        <v>312</v>
      </c>
      <c r="F185" t="s">
        <v>16</v>
      </c>
      <c r="G185" t="s">
        <v>17</v>
      </c>
      <c r="H185" t="s">
        <v>122</v>
      </c>
      <c r="I185" t="s">
        <v>307</v>
      </c>
      <c r="J185" t="s">
        <v>40</v>
      </c>
      <c r="K185" t="s">
        <v>41</v>
      </c>
      <c r="L185" t="s">
        <v>137</v>
      </c>
      <c r="M185" t="s">
        <v>313</v>
      </c>
      <c r="N185" t="s">
        <v>917</v>
      </c>
    </row>
    <row r="186" spans="1:14" ht="15" customHeight="1">
      <c r="A186" t="s">
        <v>918</v>
      </c>
      <c r="B186" t="s">
        <v>919</v>
      </c>
      <c r="C186" t="s">
        <v>304</v>
      </c>
      <c r="D186" t="s">
        <v>311</v>
      </c>
      <c r="E186" t="s">
        <v>312</v>
      </c>
      <c r="F186" t="s">
        <v>16</v>
      </c>
      <c r="G186" t="s">
        <v>17</v>
      </c>
      <c r="H186" t="s">
        <v>122</v>
      </c>
      <c r="I186" t="s">
        <v>307</v>
      </c>
      <c r="J186" t="s">
        <v>40</v>
      </c>
      <c r="K186" t="s">
        <v>41</v>
      </c>
      <c r="L186" t="s">
        <v>137</v>
      </c>
      <c r="M186" t="s">
        <v>313</v>
      </c>
      <c r="N186" t="s">
        <v>920</v>
      </c>
    </row>
    <row r="187" spans="1:14" ht="15" customHeight="1">
      <c r="A187" t="s">
        <v>921</v>
      </c>
      <c r="B187" t="s">
        <v>922</v>
      </c>
      <c r="C187" t="s">
        <v>304</v>
      </c>
      <c r="D187" t="s">
        <v>311</v>
      </c>
      <c r="E187" t="s">
        <v>312</v>
      </c>
      <c r="F187" t="s">
        <v>16</v>
      </c>
      <c r="G187" t="s">
        <v>17</v>
      </c>
      <c r="H187" t="s">
        <v>122</v>
      </c>
      <c r="I187" t="s">
        <v>307</v>
      </c>
      <c r="J187" t="s">
        <v>40</v>
      </c>
      <c r="K187" t="s">
        <v>41</v>
      </c>
      <c r="L187" t="s">
        <v>137</v>
      </c>
      <c r="M187" t="s">
        <v>313</v>
      </c>
      <c r="N187" t="s">
        <v>923</v>
      </c>
    </row>
    <row r="188" spans="1:14" ht="15" customHeight="1">
      <c r="A188" t="s">
        <v>924</v>
      </c>
      <c r="B188" t="s">
        <v>925</v>
      </c>
      <c r="C188" t="s">
        <v>325</v>
      </c>
      <c r="D188" t="s">
        <v>326</v>
      </c>
      <c r="E188" t="s">
        <v>327</v>
      </c>
      <c r="F188" t="s">
        <v>16</v>
      </c>
      <c r="G188" t="s">
        <v>29</v>
      </c>
      <c r="H188" t="s">
        <v>97</v>
      </c>
      <c r="J188" t="s">
        <v>40</v>
      </c>
      <c r="K188" t="s">
        <v>41</v>
      </c>
      <c r="L188" t="s">
        <v>21</v>
      </c>
      <c r="M188" t="s">
        <v>328</v>
      </c>
      <c r="N188" t="s">
        <v>926</v>
      </c>
    </row>
    <row r="189" spans="1:14" ht="15" customHeight="1">
      <c r="A189" t="s">
        <v>927</v>
      </c>
      <c r="B189" t="s">
        <v>928</v>
      </c>
      <c r="C189" t="s">
        <v>325</v>
      </c>
      <c r="D189" t="s">
        <v>326</v>
      </c>
      <c r="E189" t="s">
        <v>327</v>
      </c>
      <c r="F189" t="s">
        <v>16</v>
      </c>
      <c r="G189" t="s">
        <v>29</v>
      </c>
      <c r="H189" t="s">
        <v>97</v>
      </c>
      <c r="J189" t="s">
        <v>40</v>
      </c>
      <c r="K189" t="s">
        <v>41</v>
      </c>
      <c r="L189" t="s">
        <v>21</v>
      </c>
      <c r="M189" t="s">
        <v>328</v>
      </c>
      <c r="N189" t="s">
        <v>929</v>
      </c>
    </row>
    <row r="190" spans="1:14" ht="15" customHeight="1">
      <c r="A190" t="s">
        <v>930</v>
      </c>
      <c r="B190" t="s">
        <v>931</v>
      </c>
      <c r="C190" t="s">
        <v>325</v>
      </c>
      <c r="D190" t="s">
        <v>326</v>
      </c>
      <c r="E190" t="s">
        <v>327</v>
      </c>
      <c r="F190" t="s">
        <v>16</v>
      </c>
      <c r="G190" t="s">
        <v>29</v>
      </c>
      <c r="H190" t="s">
        <v>97</v>
      </c>
      <c r="J190" t="s">
        <v>40</v>
      </c>
      <c r="K190" t="s">
        <v>41</v>
      </c>
      <c r="L190" t="s">
        <v>21</v>
      </c>
      <c r="M190" t="s">
        <v>328</v>
      </c>
      <c r="N190" t="s">
        <v>932</v>
      </c>
    </row>
    <row r="191" spans="1:14" ht="15" customHeight="1">
      <c r="A191" t="s">
        <v>933</v>
      </c>
      <c r="B191" t="s">
        <v>934</v>
      </c>
      <c r="C191" t="s">
        <v>325</v>
      </c>
      <c r="D191" t="s">
        <v>326</v>
      </c>
      <c r="E191" t="s">
        <v>327</v>
      </c>
      <c r="F191" t="s">
        <v>16</v>
      </c>
      <c r="G191" t="s">
        <v>29</v>
      </c>
      <c r="H191" t="s">
        <v>97</v>
      </c>
      <c r="J191" t="s">
        <v>40</v>
      </c>
      <c r="K191" t="s">
        <v>41</v>
      </c>
      <c r="L191" t="s">
        <v>21</v>
      </c>
      <c r="M191" t="s">
        <v>328</v>
      </c>
      <c r="N191" t="s">
        <v>935</v>
      </c>
    </row>
    <row r="192" spans="1:14" ht="15" customHeight="1">
      <c r="A192" t="s">
        <v>936</v>
      </c>
      <c r="B192" t="s">
        <v>937</v>
      </c>
      <c r="C192" t="s">
        <v>325</v>
      </c>
      <c r="D192" t="s">
        <v>329</v>
      </c>
      <c r="E192" t="s">
        <v>330</v>
      </c>
      <c r="F192" t="s">
        <v>16</v>
      </c>
      <c r="G192" t="s">
        <v>29</v>
      </c>
      <c r="H192" t="s">
        <v>97</v>
      </c>
      <c r="I192" t="s">
        <v>143</v>
      </c>
      <c r="J192" t="s">
        <v>40</v>
      </c>
      <c r="K192" t="s">
        <v>41</v>
      </c>
      <c r="L192" t="s">
        <v>21</v>
      </c>
      <c r="M192" t="s">
        <v>331</v>
      </c>
      <c r="N192" t="s">
        <v>938</v>
      </c>
    </row>
    <row r="193" spans="1:14" ht="15" customHeight="1">
      <c r="A193" t="s">
        <v>939</v>
      </c>
      <c r="B193" t="s">
        <v>940</v>
      </c>
      <c r="C193" t="s">
        <v>325</v>
      </c>
      <c r="D193" t="s">
        <v>329</v>
      </c>
      <c r="E193" t="s">
        <v>330</v>
      </c>
      <c r="F193" t="s">
        <v>16</v>
      </c>
      <c r="G193" t="s">
        <v>29</v>
      </c>
      <c r="H193" t="s">
        <v>97</v>
      </c>
      <c r="I193" t="s">
        <v>143</v>
      </c>
      <c r="J193" t="s">
        <v>40</v>
      </c>
      <c r="K193" t="s">
        <v>41</v>
      </c>
      <c r="L193" t="s">
        <v>21</v>
      </c>
      <c r="M193" t="s">
        <v>331</v>
      </c>
      <c r="N193" t="s">
        <v>941</v>
      </c>
    </row>
    <row r="194" spans="1:14" ht="15" customHeight="1">
      <c r="A194" t="s">
        <v>942</v>
      </c>
      <c r="B194" t="s">
        <v>943</v>
      </c>
      <c r="C194" t="s">
        <v>325</v>
      </c>
      <c r="D194" t="s">
        <v>329</v>
      </c>
      <c r="E194" t="s">
        <v>330</v>
      </c>
      <c r="F194" t="s">
        <v>16</v>
      </c>
      <c r="G194" t="s">
        <v>29</v>
      </c>
      <c r="H194" t="s">
        <v>97</v>
      </c>
      <c r="I194" t="s">
        <v>143</v>
      </c>
      <c r="J194" t="s">
        <v>40</v>
      </c>
      <c r="K194" t="s">
        <v>41</v>
      </c>
      <c r="L194" t="s">
        <v>21</v>
      </c>
      <c r="M194" t="s">
        <v>331</v>
      </c>
      <c r="N194" t="s">
        <v>944</v>
      </c>
    </row>
    <row r="195" spans="1:14" ht="15" customHeight="1">
      <c r="A195" t="s">
        <v>945</v>
      </c>
      <c r="B195" t="s">
        <v>946</v>
      </c>
      <c r="C195" t="s">
        <v>325</v>
      </c>
      <c r="D195" t="s">
        <v>329</v>
      </c>
      <c r="E195" t="s">
        <v>330</v>
      </c>
      <c r="F195" t="s">
        <v>16</v>
      </c>
      <c r="G195" t="s">
        <v>29</v>
      </c>
      <c r="H195" t="s">
        <v>97</v>
      </c>
      <c r="I195" t="s">
        <v>143</v>
      </c>
      <c r="J195" t="s">
        <v>40</v>
      </c>
      <c r="K195" t="s">
        <v>41</v>
      </c>
      <c r="L195" t="s">
        <v>21</v>
      </c>
      <c r="M195" t="s">
        <v>331</v>
      </c>
      <c r="N195" t="s">
        <v>947</v>
      </c>
    </row>
    <row r="196" spans="1:14" ht="15" customHeight="1">
      <c r="A196" t="s">
        <v>948</v>
      </c>
      <c r="B196" t="s">
        <v>949</v>
      </c>
      <c r="C196" t="s">
        <v>345</v>
      </c>
      <c r="D196" t="s">
        <v>352</v>
      </c>
      <c r="E196" t="s">
        <v>353</v>
      </c>
      <c r="F196" t="s">
        <v>16</v>
      </c>
      <c r="G196" t="s">
        <v>17</v>
      </c>
      <c r="H196" t="s">
        <v>172</v>
      </c>
      <c r="J196" t="s">
        <v>146</v>
      </c>
      <c r="K196" t="s">
        <v>147</v>
      </c>
      <c r="L196" t="s">
        <v>176</v>
      </c>
      <c r="M196" t="s">
        <v>354</v>
      </c>
      <c r="N196" t="s">
        <v>950</v>
      </c>
    </row>
    <row r="197" spans="1:14" ht="15" customHeight="1">
      <c r="A197" t="s">
        <v>951</v>
      </c>
      <c r="B197" t="s">
        <v>952</v>
      </c>
      <c r="C197" t="s">
        <v>345</v>
      </c>
      <c r="D197" t="s">
        <v>352</v>
      </c>
      <c r="E197" t="s">
        <v>353</v>
      </c>
      <c r="F197" t="s">
        <v>16</v>
      </c>
      <c r="G197" t="s">
        <v>17</v>
      </c>
      <c r="H197" t="s">
        <v>172</v>
      </c>
      <c r="J197" t="s">
        <v>146</v>
      </c>
      <c r="K197" t="s">
        <v>147</v>
      </c>
      <c r="L197" t="s">
        <v>176</v>
      </c>
      <c r="M197" t="s">
        <v>354</v>
      </c>
      <c r="N197" t="s">
        <v>953</v>
      </c>
    </row>
    <row r="198" spans="1:14" ht="15" customHeight="1">
      <c r="A198" t="s">
        <v>954</v>
      </c>
      <c r="B198" t="s">
        <v>955</v>
      </c>
      <c r="C198" t="s">
        <v>345</v>
      </c>
      <c r="D198" t="s">
        <v>352</v>
      </c>
      <c r="E198" t="s">
        <v>353</v>
      </c>
      <c r="F198" t="s">
        <v>16</v>
      </c>
      <c r="G198" t="s">
        <v>17</v>
      </c>
      <c r="H198" t="s">
        <v>172</v>
      </c>
      <c r="J198" t="s">
        <v>146</v>
      </c>
      <c r="K198" t="s">
        <v>147</v>
      </c>
      <c r="L198" t="s">
        <v>176</v>
      </c>
      <c r="M198" t="s">
        <v>354</v>
      </c>
      <c r="N198" t="s">
        <v>956</v>
      </c>
    </row>
    <row r="199" spans="1:14" ht="15" customHeight="1">
      <c r="A199" t="s">
        <v>957</v>
      </c>
      <c r="B199" t="s">
        <v>958</v>
      </c>
      <c r="C199" t="s">
        <v>345</v>
      </c>
      <c r="D199" t="s">
        <v>352</v>
      </c>
      <c r="E199" t="s">
        <v>353</v>
      </c>
      <c r="F199" t="s">
        <v>16</v>
      </c>
      <c r="G199" t="s">
        <v>17</v>
      </c>
      <c r="H199" t="s">
        <v>172</v>
      </c>
      <c r="J199" t="s">
        <v>146</v>
      </c>
      <c r="K199" t="s">
        <v>147</v>
      </c>
      <c r="L199" t="s">
        <v>176</v>
      </c>
      <c r="M199" t="s">
        <v>354</v>
      </c>
      <c r="N199" t="s">
        <v>959</v>
      </c>
    </row>
    <row r="200" spans="1:14" ht="15" customHeight="1">
      <c r="A200" t="s">
        <v>960</v>
      </c>
      <c r="B200" t="s">
        <v>961</v>
      </c>
      <c r="C200" t="s">
        <v>345</v>
      </c>
      <c r="D200" t="s">
        <v>355</v>
      </c>
      <c r="E200" t="s">
        <v>356</v>
      </c>
      <c r="F200" t="s">
        <v>25</v>
      </c>
      <c r="G200" t="s">
        <v>17</v>
      </c>
      <c r="H200" t="s">
        <v>172</v>
      </c>
      <c r="I200" t="s">
        <v>357</v>
      </c>
      <c r="J200" t="s">
        <v>146</v>
      </c>
      <c r="K200" t="s">
        <v>147</v>
      </c>
      <c r="L200" t="s">
        <v>176</v>
      </c>
      <c r="M200" t="s">
        <v>962</v>
      </c>
      <c r="N200" t="s">
        <v>963</v>
      </c>
    </row>
    <row r="201" spans="1:14" ht="15" customHeight="1">
      <c r="A201" t="s">
        <v>964</v>
      </c>
      <c r="B201" t="s">
        <v>965</v>
      </c>
      <c r="C201" t="s">
        <v>345</v>
      </c>
      <c r="D201" t="s">
        <v>355</v>
      </c>
      <c r="E201" t="s">
        <v>356</v>
      </c>
      <c r="F201" t="s">
        <v>25</v>
      </c>
      <c r="G201" t="s">
        <v>17</v>
      </c>
      <c r="H201" t="s">
        <v>172</v>
      </c>
      <c r="I201" t="s">
        <v>357</v>
      </c>
      <c r="J201" t="s">
        <v>146</v>
      </c>
      <c r="K201" t="s">
        <v>147</v>
      </c>
      <c r="L201" t="s">
        <v>176</v>
      </c>
      <c r="M201" t="s">
        <v>962</v>
      </c>
      <c r="N201" t="s">
        <v>966</v>
      </c>
    </row>
    <row r="202" spans="1:14" ht="15" customHeight="1">
      <c r="A202" t="s">
        <v>967</v>
      </c>
      <c r="B202" t="s">
        <v>968</v>
      </c>
      <c r="C202" t="s">
        <v>345</v>
      </c>
      <c r="D202" t="s">
        <v>355</v>
      </c>
      <c r="E202" t="s">
        <v>356</v>
      </c>
      <c r="F202" t="s">
        <v>25</v>
      </c>
      <c r="G202" t="s">
        <v>17</v>
      </c>
      <c r="H202" t="s">
        <v>172</v>
      </c>
      <c r="I202" t="s">
        <v>357</v>
      </c>
      <c r="J202" t="s">
        <v>146</v>
      </c>
      <c r="K202" t="s">
        <v>147</v>
      </c>
      <c r="L202" t="s">
        <v>176</v>
      </c>
      <c r="M202" t="s">
        <v>962</v>
      </c>
      <c r="N202" t="s">
        <v>969</v>
      </c>
    </row>
    <row r="203" spans="1:14" ht="15" customHeight="1">
      <c r="A203" t="s">
        <v>970</v>
      </c>
      <c r="B203" t="s">
        <v>971</v>
      </c>
      <c r="C203" t="s">
        <v>345</v>
      </c>
      <c r="D203" t="s">
        <v>355</v>
      </c>
      <c r="E203" t="s">
        <v>356</v>
      </c>
      <c r="F203" t="s">
        <v>25</v>
      </c>
      <c r="G203" t="s">
        <v>17</v>
      </c>
      <c r="H203" t="s">
        <v>172</v>
      </c>
      <c r="I203" t="s">
        <v>357</v>
      </c>
      <c r="J203" t="s">
        <v>146</v>
      </c>
      <c r="K203" t="s">
        <v>147</v>
      </c>
      <c r="L203" t="s">
        <v>176</v>
      </c>
      <c r="M203" t="s">
        <v>962</v>
      </c>
      <c r="N203" t="s">
        <v>972</v>
      </c>
    </row>
    <row r="204" spans="1:14" ht="15" customHeight="1">
      <c r="A204" t="s">
        <v>973</v>
      </c>
      <c r="B204" t="s">
        <v>974</v>
      </c>
      <c r="C204" t="s">
        <v>345</v>
      </c>
      <c r="D204" t="s">
        <v>355</v>
      </c>
      <c r="E204" t="s">
        <v>356</v>
      </c>
      <c r="F204" t="s">
        <v>25</v>
      </c>
      <c r="G204" t="s">
        <v>17</v>
      </c>
      <c r="H204" t="s">
        <v>172</v>
      </c>
      <c r="I204" t="s">
        <v>357</v>
      </c>
      <c r="J204" t="s">
        <v>146</v>
      </c>
      <c r="K204" t="s">
        <v>147</v>
      </c>
      <c r="L204" t="s">
        <v>176</v>
      </c>
      <c r="M204" t="s">
        <v>962</v>
      </c>
      <c r="N204" t="s">
        <v>975</v>
      </c>
    </row>
    <row r="205" spans="1:14" ht="15" customHeight="1">
      <c r="A205" t="s">
        <v>976</v>
      </c>
      <c r="B205" t="s">
        <v>977</v>
      </c>
      <c r="C205" t="s">
        <v>345</v>
      </c>
      <c r="D205" t="s">
        <v>355</v>
      </c>
      <c r="E205" t="s">
        <v>356</v>
      </c>
      <c r="F205" t="s">
        <v>25</v>
      </c>
      <c r="G205" t="s">
        <v>17</v>
      </c>
      <c r="H205" t="s">
        <v>172</v>
      </c>
      <c r="I205" t="s">
        <v>357</v>
      </c>
      <c r="J205" t="s">
        <v>146</v>
      </c>
      <c r="K205" t="s">
        <v>147</v>
      </c>
      <c r="L205" t="s">
        <v>176</v>
      </c>
      <c r="M205" t="s">
        <v>962</v>
      </c>
      <c r="N205" t="s">
        <v>978</v>
      </c>
    </row>
    <row r="206" spans="1:14" ht="15" customHeight="1">
      <c r="A206" t="s">
        <v>979</v>
      </c>
      <c r="B206" t="s">
        <v>980</v>
      </c>
      <c r="C206" t="s">
        <v>345</v>
      </c>
      <c r="D206" t="s">
        <v>355</v>
      </c>
      <c r="E206" t="s">
        <v>356</v>
      </c>
      <c r="F206" t="s">
        <v>25</v>
      </c>
      <c r="G206" t="s">
        <v>17</v>
      </c>
      <c r="H206" t="s">
        <v>172</v>
      </c>
      <c r="I206" t="s">
        <v>357</v>
      </c>
      <c r="J206" t="s">
        <v>146</v>
      </c>
      <c r="K206" t="s">
        <v>147</v>
      </c>
      <c r="L206" t="s">
        <v>176</v>
      </c>
      <c r="M206" t="s">
        <v>962</v>
      </c>
      <c r="N206" t="s">
        <v>981</v>
      </c>
    </row>
    <row r="207" spans="1:14" ht="15" customHeight="1">
      <c r="A207" t="s">
        <v>982</v>
      </c>
      <c r="B207" t="s">
        <v>983</v>
      </c>
      <c r="C207" t="s">
        <v>345</v>
      </c>
      <c r="D207" t="s">
        <v>355</v>
      </c>
      <c r="E207" t="s">
        <v>356</v>
      </c>
      <c r="F207" t="s">
        <v>25</v>
      </c>
      <c r="G207" t="s">
        <v>17</v>
      </c>
      <c r="H207" t="s">
        <v>172</v>
      </c>
      <c r="I207" t="s">
        <v>357</v>
      </c>
      <c r="J207" t="s">
        <v>146</v>
      </c>
      <c r="K207" t="s">
        <v>147</v>
      </c>
      <c r="L207" t="s">
        <v>176</v>
      </c>
      <c r="M207" t="s">
        <v>962</v>
      </c>
      <c r="N207" t="s">
        <v>984</v>
      </c>
    </row>
  </sheetData>
  <autoFilter ref="A1:N207" xr:uid="{00000000-0009-0000-0000-000001000000}"/>
  <pageMargins left="0.75" right="0.75" top="1" bottom="1" header="0.511811023622047" footer="0.511811023622047"/>
  <pageSetup paperSize="9" orientation="portrait" useFirstPageNumber="1"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842a33-3492-4161-bd34-44903e55dc8c">
      <Terms xmlns="http://schemas.microsoft.com/office/infopath/2007/PartnerControls"/>
    </lcf76f155ced4ddcb4097134ff3c332f>
    <TaxCatchAll xmlns="713e08b7-8a49-4321-b04f-10cd9150d16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57B8F9AEFA2D459CCC5BA0DA793E2F" ma:contentTypeVersion="22" ma:contentTypeDescription="Crée un document." ma:contentTypeScope="" ma:versionID="958509f91a1e9ecb817b6d20de74d0bc">
  <xsd:schema xmlns:xsd="http://www.w3.org/2001/XMLSchema" xmlns:xs="http://www.w3.org/2001/XMLSchema" xmlns:p="http://schemas.microsoft.com/office/2006/metadata/properties" xmlns:ns1="http://schemas.microsoft.com/sharepoint/v3" xmlns:ns2="2f842a33-3492-4161-bd34-44903e55dc8c" xmlns:ns3="713e08b7-8a49-4321-b04f-10cd9150d160" targetNamespace="http://schemas.microsoft.com/office/2006/metadata/properties" ma:root="true" ma:fieldsID="e0c53704d33f8404479bcf633108a604" ns1:_="" ns2:_="" ns3:_="">
    <xsd:import namespace="http://schemas.microsoft.com/sharepoint/v3"/>
    <xsd:import namespace="2f842a33-3492-4161-bd34-44903e55dc8c"/>
    <xsd:import namespace="713e08b7-8a49-4321-b04f-10cd9150d160"/>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1:_dlc_ExpireDateSaved" minOccurs="0"/>
                <xsd:element ref="ns1:_dlc_ExpireDate" minOccurs="0"/>
                <xsd:element ref="ns1:_dlc_Exempt" minOccurs="0"/>
                <xsd:element ref="ns3:SharedWithUsers" minOccurs="0"/>
                <xsd:element ref="ns3:SharedWithDetails" minOccurs="0"/>
                <xsd:element ref="ns2:MediaServiceDateTaken" minOccurs="0"/>
                <xsd:element ref="ns2:MediaServiceAutoTags" minOccurs="0"/>
                <xsd:element ref="ns2:MediaServiceOCR"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pireDateSaved" ma:index="12" nillable="true" ma:displayName="Date d’expiration d’origine" ma:hidden="true" ma:internalName="_dlc_ExpireDateSaved" ma:readOnly="true">
      <xsd:simpleType>
        <xsd:restriction base="dms:DateTime"/>
      </xsd:simpleType>
    </xsd:element>
    <xsd:element name="_dlc_ExpireDate" ma:index="13" nillable="true" ma:displayName="Date d’expiration" ma:description="" ma:hidden="true" ma:indexed="true" ma:internalName="_dlc_ExpireDate" ma:readOnly="true">
      <xsd:simpleType>
        <xsd:restriction base="dms:DateTime"/>
      </xsd:simpleType>
    </xsd:element>
    <xsd:element name="_dlc_Exempt" ma:index="14" nillable="true" ma:displayName="Exempt de la stratégie"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842a33-3492-4161-bd34-44903e55dc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MediaServiceAutoTags" ma:internalName="MediaServiceAutoTags"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element name="MediaServiceLocation" ma:index="20" nillable="true" ma:displayName="MediaServic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Balises d’images" ma:readOnly="false" ma:fieldId="{5cf76f15-5ced-4ddc-b409-7134ff3c332f}" ma:taxonomyMulti="true" ma:sspId="9ab06ea2-2b14-4c82-a9fe-956051591d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3e08b7-8a49-4321-b04f-10cd9150d160"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TaxCatchAll" ma:index="26" nillable="true" ma:displayName="Taxonomy Catch All Column" ma:hidden="true" ma:list="{e9f826f1-3fcf-4ca9-9df5-8617a2561da1}" ma:internalName="TaxCatchAll" ma:showField="CatchAllData" ma:web="713e08b7-8a49-4321-b04f-10cd9150d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4C8864-6790-4865-915D-2E75AF7AC5D0}"/>
</file>

<file path=customXml/itemProps2.xml><?xml version="1.0" encoding="utf-8"?>
<ds:datastoreItem xmlns:ds="http://schemas.openxmlformats.org/officeDocument/2006/customXml" ds:itemID="{D79BA19C-5108-4C90-A2F7-A1709E1DE48E}"/>
</file>

<file path=customXml/itemProps3.xml><?xml version="1.0" encoding="utf-8"?>
<ds:datastoreItem xmlns:ds="http://schemas.openxmlformats.org/officeDocument/2006/customXml" ds:itemID="{9BAE797D-5FED-42F0-9E26-68B39FF766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Marjolaine DAVID</cp:lastModifiedBy>
  <cp:revision>6</cp:revision>
  <dcterms:created xsi:type="dcterms:W3CDTF">2026-08-07T03:13:17Z</dcterms:created>
  <dcterms:modified xsi:type="dcterms:W3CDTF">2026-09-04T01:28:37Z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0x010100F257B8F9AEFA2D459CCC5BA0DA793E2F</vt:lpwstr>
  </property>
  <property fmtid="{D5CDD505-2E9C-101B-9397-08002B2CF9AE}" pid="3" name="_dlc_policyId">
    <vt:lpwstr/>
  </property>
  <property fmtid="{D5CDD505-2E9C-101B-9397-08002B2CF9AE}" pid="4" name="ItemRetentionFormula">
    <vt:lpwstr/>
  </property>
  <property fmtid="{D5CDD505-2E9C-101B-9397-08002B2CF9AE}" pid="5" name="MediaServiceImageTags">
    <vt:lpwstr/>
  </property>
</Properties>
</file>